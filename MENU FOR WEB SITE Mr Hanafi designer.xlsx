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2b8d520df0293e/Desktop/"/>
    </mc:Choice>
  </mc:AlternateContent>
  <xr:revisionPtr revIDLastSave="0" documentId="8_{3D74A55C-5E37-4DF1-97A5-0D3FDC6FF259}" xr6:coauthVersionLast="47" xr6:coauthVersionMax="47" xr10:uidLastSave="{00000000-0000-0000-0000-000000000000}"/>
  <bookViews>
    <workbookView xWindow="-110" yWindow="-110" windowWidth="19420" windowHeight="10300" xr2:uid="{101A8824-8F6B-430B-B55A-46A448242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5" i="1" l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6" i="1"/>
  <c r="F156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9" i="1"/>
  <c r="F149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H129" i="1"/>
  <c r="F129" i="1"/>
  <c r="H128" i="1"/>
  <c r="F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7" i="1"/>
  <c r="F117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1" i="1"/>
  <c r="F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  <c r="H2" i="1"/>
  <c r="F2" i="1"/>
</calcChain>
</file>

<file path=xl/sharedStrings.xml><?xml version="1.0" encoding="utf-8"?>
<sst xmlns="http://schemas.openxmlformats.org/spreadsheetml/2006/main" count="653" uniqueCount="505">
  <si>
    <t>name</t>
  </si>
  <si>
    <t>sku</t>
  </si>
  <si>
    <t>category_reference</t>
  </si>
  <si>
    <t xml:space="preserve">price VAT </t>
  </si>
  <si>
    <t xml:space="preserve">price WHITOUT VAT  </t>
  </si>
  <si>
    <t>cost</t>
  </si>
  <si>
    <t xml:space="preserve">COST PERCENTAGE </t>
  </si>
  <si>
    <t>calories</t>
  </si>
  <si>
    <t>image</t>
  </si>
  <si>
    <t>SHRIMP  bebe   FRY roll 4 pcs</t>
  </si>
  <si>
    <t>شرمب بيبي رول</t>
  </si>
  <si>
    <t>sk-0163</t>
  </si>
  <si>
    <t>category-17</t>
  </si>
  <si>
    <t>SALMON  bebe roll FRY  4 pcs</t>
  </si>
  <si>
    <t>سالمون بيبي رول</t>
  </si>
  <si>
    <t>sk-0162</t>
  </si>
  <si>
    <t>moon  FRY 4 pcs</t>
  </si>
  <si>
    <t>مون فراي</t>
  </si>
  <si>
    <t>sk-0161</t>
  </si>
  <si>
    <t>sea  FRY 4 pcs</t>
  </si>
  <si>
    <t>سي فراي</t>
  </si>
  <si>
    <t>sk-0160</t>
  </si>
  <si>
    <t>Golden  fry 4 pcs</t>
  </si>
  <si>
    <t>كولدن فراي</t>
  </si>
  <si>
    <t>sk-0159</t>
  </si>
  <si>
    <t>shataki fondu  FRY 4 pcs</t>
  </si>
  <si>
    <t>شيتاكي فوندي</t>
  </si>
  <si>
    <t>sk-0158</t>
  </si>
  <si>
    <t>TRUFFLE tanoki   ROLL  4 PCS</t>
  </si>
  <si>
    <t>ترفل تانوكي رول</t>
  </si>
  <si>
    <t>sk-0157</t>
  </si>
  <si>
    <t>category-16</t>
  </si>
  <si>
    <t>LOBSTER ROLL 4 PCS</t>
  </si>
  <si>
    <t>لوبستر رول</t>
  </si>
  <si>
    <t>sk-0156</t>
  </si>
  <si>
    <t>Flamed crab  roll 4 PCS</t>
  </si>
  <si>
    <t>فلم كراب رول</t>
  </si>
  <si>
    <t>sk-0155</t>
  </si>
  <si>
    <t>Flamed SALMON ROLL  4 pcs</t>
  </si>
  <si>
    <t>فلمب سالمون رول</t>
  </si>
  <si>
    <t>sk-0154</t>
  </si>
  <si>
    <t>Chicken Tempura Roll 4 pcs</t>
  </si>
  <si>
    <t>تشيكن تامبورا  رول</t>
  </si>
  <si>
    <t>sk-0153</t>
  </si>
  <si>
    <t>Vegi roll 4 pcs</t>
  </si>
  <si>
    <t>فيجي رول</t>
  </si>
  <si>
    <t>sk-0152</t>
  </si>
  <si>
    <t>TUNA ROLL 4 pcs</t>
  </si>
  <si>
    <t>تونا  رول</t>
  </si>
  <si>
    <t>sk-0151</t>
  </si>
  <si>
    <t>Fire Crunchy roll  4 pcs</t>
  </si>
  <si>
    <t>كرنشيT فاير  رول</t>
  </si>
  <si>
    <t>sk-0150</t>
  </si>
  <si>
    <t>Kani  CRUNCHY Roll		4 PCS</t>
  </si>
  <si>
    <t>كاني كرانشي  رول</t>
  </si>
  <si>
    <t>sk-0149</t>
  </si>
  <si>
    <t>Beef   Roll 4 PCS</t>
  </si>
  <si>
    <t>لحم رول</t>
  </si>
  <si>
    <t>sk-0148</t>
  </si>
  <si>
    <t>Dynamite Roll 4 PCS</t>
  </si>
  <si>
    <t>داينمت رول</t>
  </si>
  <si>
    <t>sk-0147</t>
  </si>
  <si>
    <t>crispy FLAKES  ROLL 4PCS</t>
  </si>
  <si>
    <t>كرسبي فلكس</t>
  </si>
  <si>
    <t>sk-0146</t>
  </si>
  <si>
    <t>vergin roll 4 PCS</t>
  </si>
  <si>
    <t>فيرجن رول</t>
  </si>
  <si>
    <t>sk-0145</t>
  </si>
  <si>
    <t>WIN RollS 4 PCS</t>
  </si>
  <si>
    <t>وان رول</t>
  </si>
  <si>
    <t>sk-0144</t>
  </si>
  <si>
    <t>shake yake ROLL PCS 4</t>
  </si>
  <si>
    <t>شاكي ياكي</t>
  </si>
  <si>
    <t>sk-0143</t>
  </si>
  <si>
    <t>king crab roll 4 PCS</t>
  </si>
  <si>
    <t>كينج كراب</t>
  </si>
  <si>
    <t>sk-0142</t>
  </si>
  <si>
    <t>classic california 4 pcs</t>
  </si>
  <si>
    <t>كلاسيك كاليفورنيا</t>
  </si>
  <si>
    <t>sk-0141</t>
  </si>
  <si>
    <t>Ebi  FRY  roll 4 pcs</t>
  </si>
  <si>
    <t>ايــــــبي فراي كاليفورنيا</t>
  </si>
  <si>
    <t>sk-0140</t>
  </si>
  <si>
    <t>Cream cheese roll 4 pcs</t>
  </si>
  <si>
    <t>كريم تشيز</t>
  </si>
  <si>
    <t>sk-0139</t>
  </si>
  <si>
    <t>SALMON ROLL 4 PCS</t>
  </si>
  <si>
    <t>سلمون ك</t>
  </si>
  <si>
    <t>sk-0138</t>
  </si>
  <si>
    <t>SUGI  roll 4 PCS</t>
  </si>
  <si>
    <t>سوجي رول</t>
  </si>
  <si>
    <t>sk-0137</t>
  </si>
  <si>
    <t>SASHIMI Box 9 PCS</t>
  </si>
  <si>
    <t>ساشيمي بوكس 9 قطع</t>
  </si>
  <si>
    <t>product-101</t>
  </si>
  <si>
    <t>category-18  BOXES</t>
  </si>
  <si>
    <t>Salmon Box</t>
  </si>
  <si>
    <t>سالمون بوكس</t>
  </si>
  <si>
    <t>product-102</t>
  </si>
  <si>
    <t>SUGI BOX 20 PCS</t>
  </si>
  <si>
    <t>سوجي بوكس 20 قطعة</t>
  </si>
  <si>
    <t>product-103</t>
  </si>
  <si>
    <t>happy Box 16 PCS</t>
  </si>
  <si>
    <t>هابي بوكس 16 قطعة</t>
  </si>
  <si>
    <t>product-104</t>
  </si>
  <si>
    <t>fanS fry box 12 PCS</t>
  </si>
  <si>
    <t>فانز فراي بوكس 12 قطعة</t>
  </si>
  <si>
    <t>product-105</t>
  </si>
  <si>
    <t>MINI BOAT 42 PCS</t>
  </si>
  <si>
    <t>سفينة ميني</t>
  </si>
  <si>
    <t>product-106</t>
  </si>
  <si>
    <t>category-19 BOATS</t>
  </si>
  <si>
    <t>SMALL BOAT Platter 52 PCS</t>
  </si>
  <si>
    <t>سفينة صغير</t>
  </si>
  <si>
    <t>product-107</t>
  </si>
  <si>
    <t>MEDIUM BOAT 85 PCS</t>
  </si>
  <si>
    <t>سفينة متوسط</t>
  </si>
  <si>
    <t>product-108</t>
  </si>
  <si>
    <t>Coca Cola</t>
  </si>
  <si>
    <t>كولا</t>
  </si>
  <si>
    <t>product-109</t>
  </si>
  <si>
    <t xml:space="preserve">category-20 COLD DRINKS </t>
  </si>
  <si>
    <t>Coca Cola Light</t>
  </si>
  <si>
    <t>كولا دايت</t>
  </si>
  <si>
    <t>product-110</t>
  </si>
  <si>
    <t>Coca cola zero</t>
  </si>
  <si>
    <t>كولا زيرو</t>
  </si>
  <si>
    <t>product-111</t>
  </si>
  <si>
    <t>Sprite</t>
  </si>
  <si>
    <t>سبرايت</t>
  </si>
  <si>
    <t>product-112</t>
  </si>
  <si>
    <t>Fanta Orange</t>
  </si>
  <si>
    <t>فانتا برتقال</t>
  </si>
  <si>
    <t>product-113</t>
  </si>
  <si>
    <t>Water</t>
  </si>
  <si>
    <t>مياه معدنية</t>
  </si>
  <si>
    <t>product-114</t>
  </si>
  <si>
    <t>Evian</t>
  </si>
  <si>
    <t>مياه ايفيان</t>
  </si>
  <si>
    <t>product-115</t>
  </si>
  <si>
    <t>sparkling water</t>
  </si>
  <si>
    <t>مياه غازية</t>
  </si>
  <si>
    <t>product-116</t>
  </si>
  <si>
    <t>Orange</t>
  </si>
  <si>
    <t>برتقال</t>
  </si>
  <si>
    <t>product-117</t>
  </si>
  <si>
    <t xml:space="preserve">category-21 FRESH JUICES </t>
  </si>
  <si>
    <t>Lemon Ginger</t>
  </si>
  <si>
    <t>ليمون زنجبيل</t>
  </si>
  <si>
    <t>product-118</t>
  </si>
  <si>
    <t>Mojito Mint</t>
  </si>
  <si>
    <t>موهيتو نعناع</t>
  </si>
  <si>
    <t>product-119</t>
  </si>
  <si>
    <t>Mojito Strawberry</t>
  </si>
  <si>
    <t>موهيتو فراولة</t>
  </si>
  <si>
    <t>product-120</t>
  </si>
  <si>
    <t>Mojito berry</t>
  </si>
  <si>
    <t>موهيتو توت</t>
  </si>
  <si>
    <t>product-121</t>
  </si>
  <si>
    <t>Saudi Champagne</t>
  </si>
  <si>
    <t>سعودي شامبين</t>
  </si>
  <si>
    <t>product-122</t>
  </si>
  <si>
    <t>JAPANESE TEA</t>
  </si>
  <si>
    <t>شاي ياباني</t>
  </si>
  <si>
    <t>product-123</t>
  </si>
  <si>
    <t xml:space="preserve">category-22 </t>
  </si>
  <si>
    <t>Expresso</t>
  </si>
  <si>
    <t>اسبريسو</t>
  </si>
  <si>
    <t>product-124</t>
  </si>
  <si>
    <t>category-22</t>
  </si>
  <si>
    <t>Mochi</t>
  </si>
  <si>
    <t>موتشي</t>
  </si>
  <si>
    <t>product-125</t>
  </si>
  <si>
    <t>category-23  DESSERT</t>
  </si>
  <si>
    <t>PISTACHIO Ice Cream</t>
  </si>
  <si>
    <t>أيس كريم فستق</t>
  </si>
  <si>
    <t>product-126</t>
  </si>
  <si>
    <t>MINI CHEESE CAKE</t>
  </si>
  <si>
    <t>ميني تشيز كيك</t>
  </si>
  <si>
    <t>product-127</t>
  </si>
  <si>
    <t>FONDANT CHOCOLATE</t>
  </si>
  <si>
    <t>سوفليه شوكولاتة</t>
  </si>
  <si>
    <t>product-128</t>
  </si>
  <si>
    <t>SOYA SAUCE</t>
  </si>
  <si>
    <t>صويا صوص</t>
  </si>
  <si>
    <t>product-129</t>
  </si>
  <si>
    <t xml:space="preserve">category-24 EXTRA SAUCE </t>
  </si>
  <si>
    <t>SOYA LOW SODIUM</t>
  </si>
  <si>
    <t>صويا صوص قليل صوديوم</t>
  </si>
  <si>
    <t>product-130</t>
  </si>
  <si>
    <t>TERRIYAKI SAUCE</t>
  </si>
  <si>
    <t>تيرياكي صوص</t>
  </si>
  <si>
    <t>product-131</t>
  </si>
  <si>
    <t>DYNAMITE SAUCE</t>
  </si>
  <si>
    <t>داينمت صوص</t>
  </si>
  <si>
    <t>product-132</t>
  </si>
  <si>
    <t>SPICY MAYO SAUCE</t>
  </si>
  <si>
    <t>سبايسي مايو صوص</t>
  </si>
  <si>
    <t>product-133</t>
  </si>
  <si>
    <t>GINGER SUSHI</t>
  </si>
  <si>
    <t>زنجبيل</t>
  </si>
  <si>
    <t>product-134</t>
  </si>
  <si>
    <t>SWEET SOUR SAUCE</t>
  </si>
  <si>
    <t>حلو حامض صوص</t>
  </si>
  <si>
    <t>product-135</t>
  </si>
  <si>
    <t>SPICY SAUCE</t>
  </si>
  <si>
    <t>سبايسي صوص</t>
  </si>
  <si>
    <t>product-136</t>
  </si>
  <si>
    <t>VIET SALAD</t>
  </si>
  <si>
    <t>سلطة فيت</t>
  </si>
  <si>
    <t>product-1</t>
  </si>
  <si>
    <t xml:space="preserve">category-1 SALAD </t>
  </si>
  <si>
    <t>CRAB SALAD</t>
  </si>
  <si>
    <t>سلطة كراب</t>
  </si>
  <si>
    <t>product-2</t>
  </si>
  <si>
    <t>Beef Teriyaki Salad</t>
  </si>
  <si>
    <t>سلطة لحم تيرياكي</t>
  </si>
  <si>
    <t>product-3</t>
  </si>
  <si>
    <t>SUGI Salad</t>
  </si>
  <si>
    <t>سلطة ثمار البحر</t>
  </si>
  <si>
    <t>product-4</t>
  </si>
  <si>
    <t>Wakame Salad</t>
  </si>
  <si>
    <t>سلطة واكامي</t>
  </si>
  <si>
    <t>product-5</t>
  </si>
  <si>
    <t>Miso Soup</t>
  </si>
  <si>
    <t>شوربة ميسو</t>
  </si>
  <si>
    <t>product-6</t>
  </si>
  <si>
    <t xml:space="preserve">category-2 SOUP </t>
  </si>
  <si>
    <t>Tom Yum Kung Soup</t>
  </si>
  <si>
    <t>شوربة توميام كانك</t>
  </si>
  <si>
    <t>product-7</t>
  </si>
  <si>
    <t>ROYAL SEA FOOD SOUP</t>
  </si>
  <si>
    <t>شوربة رويال سي فود</t>
  </si>
  <si>
    <t>product-8</t>
  </si>
  <si>
    <t>GYOZA SHRIMP</t>
  </si>
  <si>
    <t>قيوزا ربيان</t>
  </si>
  <si>
    <t>product-9</t>
  </si>
  <si>
    <t xml:space="preserve">category-3 STARTERS </t>
  </si>
  <si>
    <t>GYOZA BEEF</t>
  </si>
  <si>
    <t>قيوزا لحم</t>
  </si>
  <si>
    <t>product-10</t>
  </si>
  <si>
    <t>TACOS BEEF</t>
  </si>
  <si>
    <t>تاكوس لحم</t>
  </si>
  <si>
    <t>product-11</t>
  </si>
  <si>
    <t>TACOS SHRIMP</t>
  </si>
  <si>
    <t>تاكوس روبيان</t>
  </si>
  <si>
    <t>product-12</t>
  </si>
  <si>
    <t>NEMS SPRING ROLL CHICKEN</t>
  </si>
  <si>
    <t>نيمز سبرينغ رول دجاج</t>
  </si>
  <si>
    <t>product-13</t>
  </si>
  <si>
    <t>NEMS SPRING ROLL SHRIMPS</t>
  </si>
  <si>
    <t>نيمز سبرينغ رول ربيان</t>
  </si>
  <si>
    <t>product-14</t>
  </si>
  <si>
    <t>Dynamite Shrimp</t>
  </si>
  <si>
    <t>داينمت جمبري</t>
  </si>
  <si>
    <t>product-15</t>
  </si>
  <si>
    <t>Edamame</t>
  </si>
  <si>
    <t>ادامامي</t>
  </si>
  <si>
    <t>product-16</t>
  </si>
  <si>
    <t>Edamame Spicy</t>
  </si>
  <si>
    <t>ادامامي حار</t>
  </si>
  <si>
    <t>product-17</t>
  </si>
  <si>
    <t>(Salmon Wok</t>
  </si>
  <si>
    <t>ووك سلمون</t>
  </si>
  <si>
    <t>product-18</t>
  </si>
  <si>
    <t xml:space="preserve">category-4 WOK &amp; NOODELES </t>
  </si>
  <si>
    <t>(Chicken Wok)</t>
  </si>
  <si>
    <t>ووك دجاج</t>
  </si>
  <si>
    <t>product-19</t>
  </si>
  <si>
    <t>(Beef Wok)</t>
  </si>
  <si>
    <t>ووك لحم</t>
  </si>
  <si>
    <t>product-20</t>
  </si>
  <si>
    <t>(Shrimp Wok)</t>
  </si>
  <si>
    <t>ووك جمبري</t>
  </si>
  <si>
    <t>product-21</t>
  </si>
  <si>
    <t>NOODLES Vegetable</t>
  </si>
  <si>
    <t>نودلزخضار</t>
  </si>
  <si>
    <t>product-22</t>
  </si>
  <si>
    <t>NOODLES Chicken</t>
  </si>
  <si>
    <t>نودلز دجاج</t>
  </si>
  <si>
    <t>product-23</t>
  </si>
  <si>
    <t>NOODLES Beef</t>
  </si>
  <si>
    <t>نودلز لحم</t>
  </si>
  <si>
    <t>product-24</t>
  </si>
  <si>
    <t>NOODLES Shrimps</t>
  </si>
  <si>
    <t>نودلزجمبري</t>
  </si>
  <si>
    <t>product-25</t>
  </si>
  <si>
    <t>MIX FRY RICE Vegetable</t>
  </si>
  <si>
    <t>أرز مقلي خضروات</t>
  </si>
  <si>
    <t>product-26</t>
  </si>
  <si>
    <t>MIX FRY RICE Chicken</t>
  </si>
  <si>
    <t>أرز مقلي دجاج</t>
  </si>
  <si>
    <t>product-27</t>
  </si>
  <si>
    <t>MIX FRY RICE Beef</t>
  </si>
  <si>
    <t>أرز مقلي لحم</t>
  </si>
  <si>
    <t>product-28</t>
  </si>
  <si>
    <t>MIX FRY RICE Shrimps</t>
  </si>
  <si>
    <t>أرز مقلي جمبري</t>
  </si>
  <si>
    <t>product-29</t>
  </si>
  <si>
    <t>Shrimp Tempura</t>
  </si>
  <si>
    <t>تامبورا روبيان</t>
  </si>
  <si>
    <t>product-30</t>
  </si>
  <si>
    <t xml:space="preserve">category-5 TEMPURA &amp; FRIED </t>
  </si>
  <si>
    <t>CHICKEN KARAKI</t>
  </si>
  <si>
    <t>دجاج كراكي</t>
  </si>
  <si>
    <t>product-31</t>
  </si>
  <si>
    <t>Chicken Fried</t>
  </si>
  <si>
    <t>قطع دجاج فراي بالطريقة الآسيوية</t>
  </si>
  <si>
    <t>product-32</t>
  </si>
  <si>
    <t>Beef Teppanyaki</t>
  </si>
  <si>
    <t>تيبانياكي لحم</t>
  </si>
  <si>
    <t>product-33</t>
  </si>
  <si>
    <t xml:space="preserve">category-6 SUGI DISHES </t>
  </si>
  <si>
    <t>Beef Striploin</t>
  </si>
  <si>
    <t>لحم ستريلوين</t>
  </si>
  <si>
    <t>product-34</t>
  </si>
  <si>
    <t>Salmon Miso Glazed</t>
  </si>
  <si>
    <t>سالمون ميزو جليز</t>
  </si>
  <si>
    <t>product-35</t>
  </si>
  <si>
    <t>Chicken Katsu</t>
  </si>
  <si>
    <t>كاتسو تشيكن</t>
  </si>
  <si>
    <t>product-36</t>
  </si>
  <si>
    <t>Beef Satee</t>
  </si>
  <si>
    <t>بيف ساتي</t>
  </si>
  <si>
    <t>product-37</t>
  </si>
  <si>
    <t>Shrimp Satee</t>
  </si>
  <si>
    <t>روبيان ساتي</t>
  </si>
  <si>
    <t>product-38</t>
  </si>
  <si>
    <t>Salmon Sashimi 5Pcs</t>
  </si>
  <si>
    <t>سلمون ساشيمي 5 قطع</t>
  </si>
  <si>
    <t>product-39</t>
  </si>
  <si>
    <t xml:space="preserve">category-7 SASHIMI </t>
  </si>
  <si>
    <t>Tuna Sashimi 5 Pcs</t>
  </si>
  <si>
    <t>تونا ساشيمي5 قطع</t>
  </si>
  <si>
    <t>product-40</t>
  </si>
  <si>
    <t>Salmon Tataki</t>
  </si>
  <si>
    <t>سلمون تاتاكي</t>
  </si>
  <si>
    <t>product-41</t>
  </si>
  <si>
    <t>category-8 TATAKI</t>
  </si>
  <si>
    <t>Tuna Tataki</t>
  </si>
  <si>
    <t>تونا تاتاكي</t>
  </si>
  <si>
    <t>product-42</t>
  </si>
  <si>
    <t>CHEVISHI Salmon</t>
  </si>
  <si>
    <t>سلمون شيفتشي</t>
  </si>
  <si>
    <t>product-43</t>
  </si>
  <si>
    <t>category-9 CIVISHI</t>
  </si>
  <si>
    <t>CHEVISHI Tuna</t>
  </si>
  <si>
    <t>تونا شيفتشي</t>
  </si>
  <si>
    <t>product-44</t>
  </si>
  <si>
    <t>Salmon FLAMED NIGIRI</t>
  </si>
  <si>
    <t>سلمون فلام</t>
  </si>
  <si>
    <t>product-46</t>
  </si>
  <si>
    <t>category-10 NIGIRI</t>
  </si>
  <si>
    <t>Shrimp NIGIRI</t>
  </si>
  <si>
    <t>جمبري</t>
  </si>
  <si>
    <t>product-48</t>
  </si>
  <si>
    <t>Crab NIGIRI</t>
  </si>
  <si>
    <t>كراب</t>
  </si>
  <si>
    <t>product-49</t>
  </si>
  <si>
    <t>Eel (Unagi)  NIGIRI</t>
  </si>
  <si>
    <t>إييل (أوناغي)</t>
  </si>
  <si>
    <t>product-50</t>
  </si>
  <si>
    <t>Salmon NIGIRI</t>
  </si>
  <si>
    <t xml:space="preserve">سلمون </t>
  </si>
  <si>
    <t>product-51</t>
  </si>
  <si>
    <t>Tuna NIGIRI</t>
  </si>
  <si>
    <t>تونا</t>
  </si>
  <si>
    <t>product-52</t>
  </si>
  <si>
    <t>Classic TEMAKI</t>
  </si>
  <si>
    <t>كلاسيك</t>
  </si>
  <si>
    <t>product-53</t>
  </si>
  <si>
    <t xml:space="preserve">category-12 TEMAKI </t>
  </si>
  <si>
    <t>SHRIMP TEMPURA TEMAKI</t>
  </si>
  <si>
    <t>جمبري تمبورا</t>
  </si>
  <si>
    <t>product-54</t>
  </si>
  <si>
    <t xml:space="preserve">Salmon TEMAKI </t>
  </si>
  <si>
    <t>سلمون</t>
  </si>
  <si>
    <t>product-55</t>
  </si>
  <si>
    <t>King Crab TEMAKI</t>
  </si>
  <si>
    <t>كينك كراب</t>
  </si>
  <si>
    <t>product-56</t>
  </si>
  <si>
    <t>Salmon Maki</t>
  </si>
  <si>
    <t>product-57</t>
  </si>
  <si>
    <t>category-13 MAKI</t>
  </si>
  <si>
    <t>Salmon Avocado Maki</t>
  </si>
  <si>
    <t>سلمون أفوكادو ماكي</t>
  </si>
  <si>
    <t>product-58</t>
  </si>
  <si>
    <t>Shrimp Tempura Maki</t>
  </si>
  <si>
    <t>جمبري تمبورا ماكي</t>
  </si>
  <si>
    <t>product-59</t>
  </si>
  <si>
    <t>Cucumber Maki</t>
  </si>
  <si>
    <t>خيار ماكي</t>
  </si>
  <si>
    <t>product-60</t>
  </si>
  <si>
    <t>Crab Maki</t>
  </si>
  <si>
    <t>كراب ماكي</t>
  </si>
  <si>
    <t>product-61</t>
  </si>
  <si>
    <t>Crab Tempura Maki</t>
  </si>
  <si>
    <t>كراب تمبورا ماكي</t>
  </si>
  <si>
    <t>product-62</t>
  </si>
  <si>
    <t>Tuna Maki</t>
  </si>
  <si>
    <t>تونا ماكي</t>
  </si>
  <si>
    <t>product-63</t>
  </si>
  <si>
    <t>Tuna Cucumber Maki</t>
  </si>
  <si>
    <t>تونا خيار ماكي</t>
  </si>
  <si>
    <t>product-64</t>
  </si>
  <si>
    <t>Avocado Cucumber Maki</t>
  </si>
  <si>
    <t>أفوكادو خيار ماكي</t>
  </si>
  <si>
    <t>product-65</t>
  </si>
  <si>
    <t>philadelphia aromaki</t>
  </si>
  <si>
    <t>فيلادلفيا أروماكي</t>
  </si>
  <si>
    <t>product-66</t>
  </si>
  <si>
    <t xml:space="preserve">category-14 AROMAKI </t>
  </si>
  <si>
    <t>new york aromaki</t>
  </si>
  <si>
    <t>نيويورك أروماكي</t>
  </si>
  <si>
    <t>product-67</t>
  </si>
  <si>
    <t>las vegas aromaki</t>
  </si>
  <si>
    <t>لاس فيجاس أروماكي</t>
  </si>
  <si>
    <t>product-68</t>
  </si>
  <si>
    <t>Vegi Aromaki</t>
  </si>
  <si>
    <t>فيجي أروماكي</t>
  </si>
  <si>
    <t>product-69</t>
  </si>
  <si>
    <t xml:space="preserve"> cheesy ebi aromaki</t>
  </si>
  <si>
    <t>أروماكي تشيزي إيبي</t>
  </si>
  <si>
    <t>product-70</t>
  </si>
  <si>
    <t xml:space="preserve">category-15 FRY AROMAKI </t>
  </si>
  <si>
    <t>aromaki bali</t>
  </si>
  <si>
    <t>أروماكي بالي</t>
  </si>
  <si>
    <t>product-71</t>
  </si>
  <si>
    <t>aromaki malib</t>
  </si>
  <si>
    <t>أروماكي ماليب</t>
  </si>
  <si>
    <t>product-72</t>
  </si>
  <si>
    <t>SUGI roll 8 PCS</t>
  </si>
  <si>
    <t>product-73</t>
  </si>
  <si>
    <t xml:space="preserve">category-16 CALIFORNIA ROLLS </t>
  </si>
  <si>
    <t>Salmon Roll 8 PCS</t>
  </si>
  <si>
    <t>سلمون   رول</t>
  </si>
  <si>
    <t>product-74</t>
  </si>
  <si>
    <t>cream cheese 8 PCS</t>
  </si>
  <si>
    <t>product-75</t>
  </si>
  <si>
    <t>ebi fry roll 8 PCS</t>
  </si>
  <si>
    <t>إيبي فراي كاليفورنيا</t>
  </si>
  <si>
    <t>product-76</t>
  </si>
  <si>
    <t>classic california 8 PCS</t>
  </si>
  <si>
    <t>product-77</t>
  </si>
  <si>
    <t>king crab roll 8 PCS</t>
  </si>
  <si>
    <t>product-78</t>
  </si>
  <si>
    <t>shake yake 8 PCS</t>
  </si>
  <si>
    <t>شاك ياكي</t>
  </si>
  <si>
    <t>product-79</t>
  </si>
  <si>
    <t>WIN Rolls 8 PCS</t>
  </si>
  <si>
    <t>product-80</t>
  </si>
  <si>
    <t>vergin roll 8 PCS</t>
  </si>
  <si>
    <t>product-81</t>
  </si>
  <si>
    <t>crispy flakes 8 PCS</t>
  </si>
  <si>
    <t>كريسبي فليكس</t>
  </si>
  <si>
    <t>product-82</t>
  </si>
  <si>
    <t>Dynamite Roll 8 PCS</t>
  </si>
  <si>
    <t>product-83</t>
  </si>
  <si>
    <t>Beef Roll 8 PCS</t>
  </si>
  <si>
    <t>product-84</t>
  </si>
  <si>
    <t>kani CRUNCHY roll 8 pcs</t>
  </si>
  <si>
    <t>كاني كرانشي رول</t>
  </si>
  <si>
    <t>product-85</t>
  </si>
  <si>
    <t>Fire Crunchy roll 8 PCS</t>
  </si>
  <si>
    <t>كرنشي فاير رول</t>
  </si>
  <si>
    <t>product-86</t>
  </si>
  <si>
    <t>TUNA ROLL 8 PCS</t>
  </si>
  <si>
    <t>تونا رول</t>
  </si>
  <si>
    <t>product-87</t>
  </si>
  <si>
    <t>Vegi roll 8 PCS</t>
  </si>
  <si>
    <t>product-88</t>
  </si>
  <si>
    <t>Chicken Tempura Roll 8 PCS</t>
  </si>
  <si>
    <t>تشيكن تامبورا رول</t>
  </si>
  <si>
    <t>product-89</t>
  </si>
  <si>
    <t>Flamed SALMON ROLL 8 PCS</t>
  </si>
  <si>
    <t>فليم سلمون رول</t>
  </si>
  <si>
    <t>product-90</t>
  </si>
  <si>
    <t>Flamed crab roll 8 PCS</t>
  </si>
  <si>
    <t>فليم كراب رول</t>
  </si>
  <si>
    <t>product-91</t>
  </si>
  <si>
    <t>LOBSTER ROLL 8 PCS</t>
  </si>
  <si>
    <t>product-92</t>
  </si>
  <si>
    <t>TRUFFLE tanoki ROLL 8 PCS</t>
  </si>
  <si>
    <t>ترافل تانوكي رول</t>
  </si>
  <si>
    <t>product-93</t>
  </si>
  <si>
    <t>shataki fondu FRY 8 pcs</t>
  </si>
  <si>
    <t>product-94</t>
  </si>
  <si>
    <t xml:space="preserve">category-17 FRY ROLLS </t>
  </si>
  <si>
    <t>Golden fry 8 pcs</t>
  </si>
  <si>
    <t>جولدن فراي</t>
  </si>
  <si>
    <t>product-95</t>
  </si>
  <si>
    <t>sea FRY 8 pcs</t>
  </si>
  <si>
    <t>product-96</t>
  </si>
  <si>
    <t>moon FRY 8 pcs</t>
  </si>
  <si>
    <t>product-97</t>
  </si>
  <si>
    <t>SALMON bebe roll 8 pcs</t>
  </si>
  <si>
    <t>سلمون بيبي رول</t>
  </si>
  <si>
    <t>product-98</t>
  </si>
  <si>
    <t>SHRIMP bebe roll 8 pcs</t>
  </si>
  <si>
    <t>شريمب بيبي رول</t>
  </si>
  <si>
    <t>product-99</t>
  </si>
  <si>
    <t>NIGIRI Box 10 PCS</t>
  </si>
  <si>
    <t>نيجيري بوكس 10 قطع</t>
  </si>
  <si>
    <t>product-100</t>
  </si>
  <si>
    <t xml:space="preserve">category-18 BOXES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</si>
</sst>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9" fontId="0" fillId="0" borderId="0" xfId="1" applyFont="1"/>
    <xf numFmtId="0" fontId="0" fillId="2" borderId="0" xfId="0" applyFill="1"/>
    <xf numFmtId="2" fontId="0" fillId="2" borderId="0" xfId="0" applyNumberFormat="1" applyFill="1"/>
    <xf numFmtId="9" fontId="0" fillId="2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40F7-E906-404E-8D13-4FA0C3EDB594}">
  <dimension ref="A1:P165"/>
  <sheetViews>
    <sheetView tabSelected="1" zoomScale="59" workbookViewId="0">
      <selection sqref="A1:XFD1048576"/>
    </sheetView>
  </sheetViews>
  <sheetFormatPr defaultRowHeight="14.5" x14ac:dyDescent="0.35"/>
  <cols>
    <col min="1" max="2" width="37.54296875" customWidth="1"/>
    <col min="3" max="3" width="14.1796875" customWidth="1"/>
    <col min="4" max="4" width="26.26953125" bestFit="1" customWidth="1"/>
    <col min="5" max="5" width="17.26953125" customWidth="1"/>
    <col min="6" max="6" width="26.453125" bestFit="1" customWidth="1"/>
    <col min="7" max="7" width="15.453125" customWidth="1"/>
    <col min="8" max="8" width="20.453125" bestFit="1" customWidth="1"/>
    <col min="9" max="9" width="12.1796875" customWidth="1"/>
    <col min="10" max="10" width="13" customWidth="1"/>
  </cols>
  <sheetData>
    <row r="1" spans="1:10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2" t="s">
        <v>9</v>
      </c>
      <c r="B2" s="2" t="s">
        <v>10</v>
      </c>
      <c r="C2" t="s">
        <v>11</v>
      </c>
      <c r="D2" t="s">
        <v>12</v>
      </c>
      <c r="E2">
        <v>31</v>
      </c>
      <c r="F2" s="3">
        <f>E2/1.15</f>
        <v>26.956521739130437</v>
      </c>
      <c r="G2" s="4">
        <v>5.25</v>
      </c>
      <c r="H2" s="5">
        <f>G2/F2</f>
        <v>0.19475806451612901</v>
      </c>
    </row>
    <row r="3" spans="1:10" x14ac:dyDescent="0.35">
      <c r="A3" s="2" t="s">
        <v>13</v>
      </c>
      <c r="B3" s="2" t="s">
        <v>14</v>
      </c>
      <c r="C3" t="s">
        <v>15</v>
      </c>
      <c r="D3" t="s">
        <v>12</v>
      </c>
      <c r="E3">
        <v>29</v>
      </c>
      <c r="F3" s="3">
        <f t="shared" ref="F3:F66" si="0">E3/1.15</f>
        <v>25.217391304347828</v>
      </c>
      <c r="G3" s="3"/>
      <c r="H3" s="5">
        <f t="shared" ref="H3:H66" si="1">G3/F3</f>
        <v>0</v>
      </c>
    </row>
    <row r="4" spans="1:10" x14ac:dyDescent="0.35">
      <c r="A4" s="2" t="s">
        <v>16</v>
      </c>
      <c r="B4" s="2" t="s">
        <v>17</v>
      </c>
      <c r="C4" t="s">
        <v>18</v>
      </c>
      <c r="D4" t="s">
        <v>12</v>
      </c>
      <c r="E4">
        <v>31</v>
      </c>
      <c r="F4" s="3">
        <f t="shared" si="0"/>
        <v>26.956521739130437</v>
      </c>
      <c r="G4" s="3"/>
      <c r="H4" s="5">
        <f t="shared" si="1"/>
        <v>0</v>
      </c>
    </row>
    <row r="5" spans="1:10" x14ac:dyDescent="0.35">
      <c r="A5" s="2" t="s">
        <v>19</v>
      </c>
      <c r="B5" s="2" t="s">
        <v>20</v>
      </c>
      <c r="C5" t="s">
        <v>21</v>
      </c>
      <c r="D5" t="s">
        <v>12</v>
      </c>
      <c r="E5">
        <v>31</v>
      </c>
      <c r="F5" s="3">
        <f t="shared" si="0"/>
        <v>26.956521739130437</v>
      </c>
      <c r="G5" s="3"/>
      <c r="H5" s="5">
        <f t="shared" si="1"/>
        <v>0</v>
      </c>
    </row>
    <row r="6" spans="1:10" x14ac:dyDescent="0.35">
      <c r="A6" s="2" t="s">
        <v>22</v>
      </c>
      <c r="B6" s="2" t="s">
        <v>23</v>
      </c>
      <c r="C6" t="s">
        <v>24</v>
      </c>
      <c r="D6" t="s">
        <v>12</v>
      </c>
      <c r="E6">
        <v>31</v>
      </c>
      <c r="F6" s="3">
        <f t="shared" si="0"/>
        <v>26.956521739130437</v>
      </c>
      <c r="G6" s="3"/>
      <c r="H6" s="5">
        <f t="shared" si="1"/>
        <v>0</v>
      </c>
    </row>
    <row r="7" spans="1:10" x14ac:dyDescent="0.35">
      <c r="A7" s="2" t="s">
        <v>25</v>
      </c>
      <c r="B7" s="2" t="s">
        <v>26</v>
      </c>
      <c r="C7" t="s">
        <v>27</v>
      </c>
      <c r="D7" t="s">
        <v>12</v>
      </c>
      <c r="E7">
        <v>31</v>
      </c>
      <c r="F7" s="3">
        <f t="shared" si="0"/>
        <v>26.956521739130437</v>
      </c>
      <c r="G7" s="3"/>
      <c r="H7" s="5">
        <f t="shared" si="1"/>
        <v>0</v>
      </c>
    </row>
    <row r="8" spans="1:10" x14ac:dyDescent="0.35">
      <c r="A8" s="2" t="s">
        <v>28</v>
      </c>
      <c r="B8" s="2" t="s">
        <v>29</v>
      </c>
      <c r="C8" t="s">
        <v>30</v>
      </c>
      <c r="D8" t="s">
        <v>31</v>
      </c>
      <c r="E8">
        <v>33</v>
      </c>
      <c r="F8" s="3">
        <f t="shared" si="0"/>
        <v>28.695652173913047</v>
      </c>
      <c r="G8" s="3">
        <v>10.09</v>
      </c>
      <c r="H8" s="5">
        <f t="shared" si="1"/>
        <v>0.35162121212121206</v>
      </c>
    </row>
    <row r="9" spans="1:10" x14ac:dyDescent="0.35">
      <c r="A9" s="2" t="s">
        <v>32</v>
      </c>
      <c r="B9" s="2" t="s">
        <v>33</v>
      </c>
      <c r="C9" t="s">
        <v>34</v>
      </c>
      <c r="D9" t="s">
        <v>31</v>
      </c>
      <c r="E9">
        <v>33</v>
      </c>
      <c r="F9" s="3">
        <f t="shared" si="0"/>
        <v>28.695652173913047</v>
      </c>
      <c r="G9" s="3">
        <v>5.89</v>
      </c>
      <c r="H9" s="5">
        <f t="shared" si="1"/>
        <v>0.20525757575757572</v>
      </c>
    </row>
    <row r="10" spans="1:10" x14ac:dyDescent="0.35">
      <c r="A10" s="2" t="s">
        <v>35</v>
      </c>
      <c r="B10" s="2" t="s">
        <v>36</v>
      </c>
      <c r="C10" t="s">
        <v>37</v>
      </c>
      <c r="D10" t="s">
        <v>31</v>
      </c>
      <c r="E10">
        <v>31</v>
      </c>
      <c r="F10" s="3">
        <f t="shared" si="0"/>
        <v>26.956521739130437</v>
      </c>
      <c r="G10" s="3">
        <v>5.5</v>
      </c>
      <c r="H10" s="5">
        <f t="shared" si="1"/>
        <v>0.20403225806451611</v>
      </c>
    </row>
    <row r="11" spans="1:10" x14ac:dyDescent="0.35">
      <c r="A11" s="2" t="s">
        <v>38</v>
      </c>
      <c r="B11" s="2" t="s">
        <v>39</v>
      </c>
      <c r="C11" t="s">
        <v>40</v>
      </c>
      <c r="D11" t="s">
        <v>31</v>
      </c>
      <c r="E11">
        <v>31</v>
      </c>
      <c r="F11" s="3">
        <f t="shared" si="0"/>
        <v>26.956521739130437</v>
      </c>
      <c r="G11" s="3">
        <v>5.38</v>
      </c>
      <c r="H11" s="5">
        <f t="shared" si="1"/>
        <v>0.19958064516129029</v>
      </c>
    </row>
    <row r="12" spans="1:10" x14ac:dyDescent="0.35">
      <c r="A12" s="2" t="s">
        <v>41</v>
      </c>
      <c r="B12" s="2" t="s">
        <v>42</v>
      </c>
      <c r="C12" t="s">
        <v>43</v>
      </c>
      <c r="D12" t="s">
        <v>31</v>
      </c>
      <c r="E12">
        <v>27</v>
      </c>
      <c r="F12" s="3">
        <f t="shared" si="0"/>
        <v>23.478260869565219</v>
      </c>
      <c r="G12" s="3">
        <v>2.12</v>
      </c>
      <c r="H12" s="5">
        <f t="shared" si="1"/>
        <v>9.0296296296296291E-2</v>
      </c>
    </row>
    <row r="13" spans="1:10" x14ac:dyDescent="0.35">
      <c r="A13" s="2" t="s">
        <v>44</v>
      </c>
      <c r="B13" s="2" t="s">
        <v>45</v>
      </c>
      <c r="C13" t="s">
        <v>46</v>
      </c>
      <c r="D13" t="s">
        <v>31</v>
      </c>
      <c r="E13">
        <v>26</v>
      </c>
      <c r="F13" s="3">
        <f t="shared" si="0"/>
        <v>22.608695652173914</v>
      </c>
      <c r="G13" s="3">
        <v>1.75</v>
      </c>
      <c r="H13" s="5">
        <f t="shared" si="1"/>
        <v>7.7403846153846156E-2</v>
      </c>
    </row>
    <row r="14" spans="1:10" x14ac:dyDescent="0.35">
      <c r="A14" s="2" t="s">
        <v>47</v>
      </c>
      <c r="B14" s="2" t="s">
        <v>48</v>
      </c>
      <c r="C14" t="s">
        <v>49</v>
      </c>
      <c r="D14" t="s">
        <v>31</v>
      </c>
      <c r="E14">
        <v>31</v>
      </c>
      <c r="F14" s="3">
        <f t="shared" si="0"/>
        <v>26.956521739130437</v>
      </c>
      <c r="G14" s="3">
        <v>3.11</v>
      </c>
      <c r="H14" s="5">
        <f t="shared" si="1"/>
        <v>0.11537096774193546</v>
      </c>
    </row>
    <row r="15" spans="1:10" x14ac:dyDescent="0.35">
      <c r="A15" s="2" t="s">
        <v>50</v>
      </c>
      <c r="B15" s="2" t="s">
        <v>51</v>
      </c>
      <c r="C15" t="s">
        <v>52</v>
      </c>
      <c r="D15" t="s">
        <v>31</v>
      </c>
      <c r="E15">
        <v>31</v>
      </c>
      <c r="F15" s="3">
        <f t="shared" si="0"/>
        <v>26.956521739130437</v>
      </c>
      <c r="G15" s="3">
        <v>4.2</v>
      </c>
      <c r="H15" s="5">
        <f t="shared" si="1"/>
        <v>0.15580645161290321</v>
      </c>
    </row>
    <row r="16" spans="1:10" x14ac:dyDescent="0.35">
      <c r="A16" s="2" t="s">
        <v>53</v>
      </c>
      <c r="B16" s="2" t="s">
        <v>54</v>
      </c>
      <c r="C16" t="s">
        <v>55</v>
      </c>
      <c r="D16" t="s">
        <v>31</v>
      </c>
      <c r="E16">
        <v>31</v>
      </c>
      <c r="F16" s="3">
        <f t="shared" si="0"/>
        <v>26.956521739130437</v>
      </c>
      <c r="G16" s="3">
        <v>5.6</v>
      </c>
      <c r="H16" s="5">
        <f t="shared" si="1"/>
        <v>0.20774193548387093</v>
      </c>
    </row>
    <row r="17" spans="1:8" x14ac:dyDescent="0.35">
      <c r="A17" s="2" t="s">
        <v>56</v>
      </c>
      <c r="B17" s="2" t="s">
        <v>57</v>
      </c>
      <c r="C17" t="s">
        <v>58</v>
      </c>
      <c r="D17" t="s">
        <v>31</v>
      </c>
      <c r="E17">
        <v>31</v>
      </c>
      <c r="F17" s="3">
        <f t="shared" si="0"/>
        <v>26.956521739130437</v>
      </c>
      <c r="G17" s="3">
        <v>3.35</v>
      </c>
      <c r="H17" s="5">
        <f t="shared" si="1"/>
        <v>0.12427419354838709</v>
      </c>
    </row>
    <row r="18" spans="1:8" x14ac:dyDescent="0.35">
      <c r="A18" s="2" t="s">
        <v>59</v>
      </c>
      <c r="B18" s="2" t="s">
        <v>60</v>
      </c>
      <c r="C18" t="s">
        <v>61</v>
      </c>
      <c r="D18" t="s">
        <v>31</v>
      </c>
      <c r="E18">
        <v>31</v>
      </c>
      <c r="F18" s="3">
        <f t="shared" si="0"/>
        <v>26.956521739130437</v>
      </c>
      <c r="G18" s="3">
        <v>5.23</v>
      </c>
      <c r="H18" s="5">
        <f t="shared" si="1"/>
        <v>0.19401612903225807</v>
      </c>
    </row>
    <row r="19" spans="1:8" x14ac:dyDescent="0.35">
      <c r="A19" s="2" t="s">
        <v>62</v>
      </c>
      <c r="B19" s="2" t="s">
        <v>63</v>
      </c>
      <c r="C19" t="s">
        <v>64</v>
      </c>
      <c r="D19" t="s">
        <v>31</v>
      </c>
      <c r="E19">
        <v>31</v>
      </c>
      <c r="F19" s="3">
        <f t="shared" si="0"/>
        <v>26.956521739130437</v>
      </c>
      <c r="G19" s="3">
        <v>4.75</v>
      </c>
      <c r="H19" s="5">
        <f t="shared" si="1"/>
        <v>0.17620967741935481</v>
      </c>
    </row>
    <row r="20" spans="1:8" x14ac:dyDescent="0.35">
      <c r="A20" s="2" t="s">
        <v>65</v>
      </c>
      <c r="B20" s="2" t="s">
        <v>66</v>
      </c>
      <c r="C20" t="s">
        <v>67</v>
      </c>
      <c r="D20" t="s">
        <v>31</v>
      </c>
      <c r="E20">
        <v>31</v>
      </c>
      <c r="F20" s="3">
        <f t="shared" si="0"/>
        <v>26.956521739130437</v>
      </c>
      <c r="G20" s="3">
        <v>4.25</v>
      </c>
      <c r="H20" s="5">
        <f t="shared" si="1"/>
        <v>0.15766129032258064</v>
      </c>
    </row>
    <row r="21" spans="1:8" x14ac:dyDescent="0.35">
      <c r="A21" s="2" t="s">
        <v>68</v>
      </c>
      <c r="B21" s="2" t="s">
        <v>69</v>
      </c>
      <c r="C21" t="s">
        <v>70</v>
      </c>
      <c r="D21" t="s">
        <v>31</v>
      </c>
      <c r="E21">
        <v>31</v>
      </c>
      <c r="F21" s="3">
        <f t="shared" si="0"/>
        <v>26.956521739130437</v>
      </c>
      <c r="G21" s="3">
        <v>3.47</v>
      </c>
      <c r="H21" s="5">
        <f t="shared" si="1"/>
        <v>0.12872580645161291</v>
      </c>
    </row>
    <row r="22" spans="1:8" x14ac:dyDescent="0.35">
      <c r="A22" s="2" t="s">
        <v>71</v>
      </c>
      <c r="B22" s="2" t="s">
        <v>72</v>
      </c>
      <c r="C22" t="s">
        <v>73</v>
      </c>
      <c r="D22" t="s">
        <v>31</v>
      </c>
      <c r="E22">
        <v>27</v>
      </c>
      <c r="F22" s="3">
        <f t="shared" si="0"/>
        <v>23.478260869565219</v>
      </c>
      <c r="G22" s="3">
        <v>3.5</v>
      </c>
      <c r="H22" s="5">
        <f t="shared" si="1"/>
        <v>0.14907407407407405</v>
      </c>
    </row>
    <row r="23" spans="1:8" x14ac:dyDescent="0.35">
      <c r="A23" s="2" t="s">
        <v>74</v>
      </c>
      <c r="B23" s="2" t="s">
        <v>75</v>
      </c>
      <c r="C23" t="s">
        <v>76</v>
      </c>
      <c r="D23" t="s">
        <v>31</v>
      </c>
      <c r="E23">
        <v>29</v>
      </c>
      <c r="F23" s="3">
        <f t="shared" si="0"/>
        <v>25.217391304347828</v>
      </c>
      <c r="G23" s="3">
        <v>3.84</v>
      </c>
      <c r="H23" s="5">
        <f t="shared" si="1"/>
        <v>0.15227586206896551</v>
      </c>
    </row>
    <row r="24" spans="1:8" x14ac:dyDescent="0.35">
      <c r="A24" s="2" t="s">
        <v>77</v>
      </c>
      <c r="B24" s="2" t="s">
        <v>78</v>
      </c>
      <c r="C24" t="s">
        <v>79</v>
      </c>
      <c r="D24" t="s">
        <v>31</v>
      </c>
      <c r="E24">
        <v>27</v>
      </c>
      <c r="F24" s="3">
        <f t="shared" si="0"/>
        <v>23.478260869565219</v>
      </c>
      <c r="G24" s="3">
        <v>2.71</v>
      </c>
      <c r="H24" s="5">
        <f t="shared" si="1"/>
        <v>0.11542592592592592</v>
      </c>
    </row>
    <row r="25" spans="1:8" x14ac:dyDescent="0.35">
      <c r="A25" s="2" t="s">
        <v>80</v>
      </c>
      <c r="B25" s="2" t="s">
        <v>81</v>
      </c>
      <c r="C25" t="s">
        <v>82</v>
      </c>
      <c r="D25" t="s">
        <v>31</v>
      </c>
      <c r="E25">
        <v>31</v>
      </c>
      <c r="F25" s="3">
        <f t="shared" si="0"/>
        <v>26.956521739130437</v>
      </c>
      <c r="G25" s="3">
        <v>5.46</v>
      </c>
      <c r="H25" s="5">
        <f t="shared" si="1"/>
        <v>0.20254838709677417</v>
      </c>
    </row>
    <row r="26" spans="1:8" x14ac:dyDescent="0.35">
      <c r="A26" s="2" t="s">
        <v>83</v>
      </c>
      <c r="B26" s="2" t="s">
        <v>84</v>
      </c>
      <c r="C26" t="s">
        <v>85</v>
      </c>
      <c r="D26" t="s">
        <v>31</v>
      </c>
      <c r="E26">
        <v>31</v>
      </c>
      <c r="F26" s="3">
        <f t="shared" si="0"/>
        <v>26.956521739130437</v>
      </c>
      <c r="G26" s="3">
        <v>4.84</v>
      </c>
      <c r="H26" s="5">
        <f t="shared" si="1"/>
        <v>0.17954838709677418</v>
      </c>
    </row>
    <row r="27" spans="1:8" x14ac:dyDescent="0.35">
      <c r="A27" s="2" t="s">
        <v>86</v>
      </c>
      <c r="B27" s="2" t="s">
        <v>87</v>
      </c>
      <c r="C27" t="s">
        <v>88</v>
      </c>
      <c r="D27" t="s">
        <v>31</v>
      </c>
      <c r="E27">
        <v>31</v>
      </c>
      <c r="F27" s="3">
        <f t="shared" si="0"/>
        <v>26.956521739130437</v>
      </c>
      <c r="G27" s="3">
        <v>3.47</v>
      </c>
      <c r="H27" s="5">
        <f t="shared" si="1"/>
        <v>0.12872580645161291</v>
      </c>
    </row>
    <row r="28" spans="1:8" x14ac:dyDescent="0.35">
      <c r="A28" s="2" t="s">
        <v>89</v>
      </c>
      <c r="B28" s="2" t="s">
        <v>90</v>
      </c>
      <c r="C28" t="s">
        <v>91</v>
      </c>
      <c r="D28" t="s">
        <v>31</v>
      </c>
      <c r="E28">
        <v>31</v>
      </c>
      <c r="F28" s="3">
        <f t="shared" si="0"/>
        <v>26.956521739130437</v>
      </c>
      <c r="G28" s="3">
        <v>6.92</v>
      </c>
      <c r="H28" s="5">
        <f t="shared" si="1"/>
        <v>0.2567096774193548</v>
      </c>
    </row>
    <row r="29" spans="1:8" x14ac:dyDescent="0.35">
      <c r="A29" s="2" t="s">
        <v>92</v>
      </c>
      <c r="B29" s="2" t="s">
        <v>93</v>
      </c>
      <c r="C29" t="s">
        <v>94</v>
      </c>
      <c r="D29" t="s">
        <v>95</v>
      </c>
      <c r="E29">
        <v>87</v>
      </c>
      <c r="F29" s="3">
        <f t="shared" si="0"/>
        <v>75.652173913043484</v>
      </c>
      <c r="G29" s="3">
        <v>18</v>
      </c>
      <c r="H29" s="5">
        <f t="shared" si="1"/>
        <v>0.2379310344827586</v>
      </c>
    </row>
    <row r="30" spans="1:8" x14ac:dyDescent="0.35">
      <c r="A30" s="2" t="s">
        <v>96</v>
      </c>
      <c r="B30" s="2" t="s">
        <v>97</v>
      </c>
      <c r="C30" t="s">
        <v>98</v>
      </c>
      <c r="D30" t="s">
        <v>95</v>
      </c>
      <c r="E30">
        <v>89</v>
      </c>
      <c r="F30" s="3">
        <f t="shared" si="0"/>
        <v>77.391304347826093</v>
      </c>
      <c r="G30" s="3">
        <v>22.24</v>
      </c>
      <c r="H30" s="5">
        <f t="shared" si="1"/>
        <v>0.28737078651685388</v>
      </c>
    </row>
    <row r="31" spans="1:8" x14ac:dyDescent="0.35">
      <c r="A31" s="2" t="s">
        <v>99</v>
      </c>
      <c r="B31" s="2" t="s">
        <v>100</v>
      </c>
      <c r="C31" t="s">
        <v>101</v>
      </c>
      <c r="D31" t="s">
        <v>95</v>
      </c>
      <c r="E31">
        <v>136</v>
      </c>
      <c r="F31" s="3">
        <f t="shared" si="0"/>
        <v>118.2608695652174</v>
      </c>
      <c r="G31" s="3">
        <v>25.36</v>
      </c>
      <c r="H31" s="5">
        <f t="shared" si="1"/>
        <v>0.21444117647058822</v>
      </c>
    </row>
    <row r="32" spans="1:8" x14ac:dyDescent="0.35">
      <c r="A32" s="2" t="s">
        <v>102</v>
      </c>
      <c r="B32" s="2" t="s">
        <v>103</v>
      </c>
      <c r="C32" t="s">
        <v>104</v>
      </c>
      <c r="D32" t="s">
        <v>95</v>
      </c>
      <c r="E32">
        <v>109</v>
      </c>
      <c r="F32" s="3">
        <f t="shared" si="0"/>
        <v>94.782608695652186</v>
      </c>
      <c r="G32" s="3">
        <v>16.5</v>
      </c>
      <c r="H32" s="5">
        <f t="shared" si="1"/>
        <v>0.17408256880733944</v>
      </c>
    </row>
    <row r="33" spans="1:8" x14ac:dyDescent="0.35">
      <c r="A33" s="2" t="s">
        <v>105</v>
      </c>
      <c r="B33" s="2" t="s">
        <v>106</v>
      </c>
      <c r="C33" t="s">
        <v>107</v>
      </c>
      <c r="D33" t="s">
        <v>95</v>
      </c>
      <c r="E33">
        <v>89</v>
      </c>
      <c r="F33" s="3">
        <f t="shared" si="0"/>
        <v>77.391304347826093</v>
      </c>
      <c r="G33" s="3">
        <v>12.78</v>
      </c>
      <c r="H33" s="5">
        <f t="shared" si="1"/>
        <v>0.16513483146067415</v>
      </c>
    </row>
    <row r="34" spans="1:8" x14ac:dyDescent="0.35">
      <c r="A34" s="2" t="s">
        <v>108</v>
      </c>
      <c r="B34" s="2" t="s">
        <v>109</v>
      </c>
      <c r="C34" t="s">
        <v>110</v>
      </c>
      <c r="D34" t="s">
        <v>111</v>
      </c>
      <c r="E34">
        <v>265</v>
      </c>
      <c r="F34" s="3">
        <f t="shared" si="0"/>
        <v>230.43478260869566</v>
      </c>
      <c r="G34" s="3"/>
      <c r="H34" s="5">
        <f t="shared" si="1"/>
        <v>0</v>
      </c>
    </row>
    <row r="35" spans="1:8" x14ac:dyDescent="0.35">
      <c r="A35" s="2" t="s">
        <v>112</v>
      </c>
      <c r="B35" s="2" t="s">
        <v>113</v>
      </c>
      <c r="C35" t="s">
        <v>114</v>
      </c>
      <c r="D35" t="s">
        <v>111</v>
      </c>
      <c r="E35">
        <v>329</v>
      </c>
      <c r="F35" s="3">
        <f t="shared" si="0"/>
        <v>286.08695652173913</v>
      </c>
      <c r="G35" s="3"/>
      <c r="H35" s="5">
        <f t="shared" si="1"/>
        <v>0</v>
      </c>
    </row>
    <row r="36" spans="1:8" x14ac:dyDescent="0.35">
      <c r="A36" s="2" t="s">
        <v>115</v>
      </c>
      <c r="B36" s="2" t="s">
        <v>116</v>
      </c>
      <c r="C36" t="s">
        <v>117</v>
      </c>
      <c r="D36" t="s">
        <v>111</v>
      </c>
      <c r="E36">
        <v>509</v>
      </c>
      <c r="F36" s="3">
        <f t="shared" si="0"/>
        <v>442.60869565217394</v>
      </c>
      <c r="G36" s="3"/>
      <c r="H36" s="5">
        <f t="shared" si="1"/>
        <v>0</v>
      </c>
    </row>
    <row r="37" spans="1:8" x14ac:dyDescent="0.35">
      <c r="A37" s="2" t="s">
        <v>118</v>
      </c>
      <c r="B37" s="2" t="s">
        <v>119</v>
      </c>
      <c r="C37" t="s">
        <v>120</v>
      </c>
      <c r="D37" t="s">
        <v>121</v>
      </c>
      <c r="E37">
        <v>5</v>
      </c>
      <c r="F37" s="3">
        <f t="shared" si="0"/>
        <v>4.3478260869565224</v>
      </c>
      <c r="G37" s="3">
        <v>2.5</v>
      </c>
      <c r="H37" s="5">
        <f t="shared" si="1"/>
        <v>0.57499999999999996</v>
      </c>
    </row>
    <row r="38" spans="1:8" x14ac:dyDescent="0.35">
      <c r="A38" s="2" t="s">
        <v>122</v>
      </c>
      <c r="B38" s="2" t="s">
        <v>123</v>
      </c>
      <c r="C38" t="s">
        <v>124</v>
      </c>
      <c r="D38" t="s">
        <v>121</v>
      </c>
      <c r="E38">
        <v>5</v>
      </c>
      <c r="F38" s="3">
        <f t="shared" si="0"/>
        <v>4.3478260869565224</v>
      </c>
      <c r="G38" s="3">
        <v>2.5</v>
      </c>
      <c r="H38" s="5">
        <f t="shared" si="1"/>
        <v>0.57499999999999996</v>
      </c>
    </row>
    <row r="39" spans="1:8" x14ac:dyDescent="0.35">
      <c r="A39" s="2" t="s">
        <v>125</v>
      </c>
      <c r="B39" s="2" t="s">
        <v>126</v>
      </c>
      <c r="C39" t="s">
        <v>127</v>
      </c>
      <c r="D39" t="s">
        <v>121</v>
      </c>
      <c r="E39">
        <v>5</v>
      </c>
      <c r="F39" s="3">
        <f t="shared" si="0"/>
        <v>4.3478260869565224</v>
      </c>
      <c r="G39" s="3">
        <v>2.5</v>
      </c>
      <c r="H39" s="5">
        <f t="shared" si="1"/>
        <v>0.57499999999999996</v>
      </c>
    </row>
    <row r="40" spans="1:8" x14ac:dyDescent="0.35">
      <c r="A40" s="2" t="s">
        <v>128</v>
      </c>
      <c r="B40" s="2" t="s">
        <v>129</v>
      </c>
      <c r="C40" t="s">
        <v>130</v>
      </c>
      <c r="D40" t="s">
        <v>121</v>
      </c>
      <c r="E40">
        <v>5</v>
      </c>
      <c r="F40" s="3">
        <f t="shared" si="0"/>
        <v>4.3478260869565224</v>
      </c>
      <c r="G40" s="3">
        <v>2.5</v>
      </c>
      <c r="H40" s="5">
        <f t="shared" si="1"/>
        <v>0.57499999999999996</v>
      </c>
    </row>
    <row r="41" spans="1:8" x14ac:dyDescent="0.35">
      <c r="A41" s="2" t="s">
        <v>131</v>
      </c>
      <c r="B41" s="2" t="s">
        <v>132</v>
      </c>
      <c r="C41" t="s">
        <v>133</v>
      </c>
      <c r="D41" t="s">
        <v>121</v>
      </c>
      <c r="E41">
        <v>5</v>
      </c>
      <c r="F41" s="3">
        <f t="shared" si="0"/>
        <v>4.3478260869565224</v>
      </c>
      <c r="G41" s="3">
        <v>2.5</v>
      </c>
      <c r="H41" s="5">
        <f t="shared" si="1"/>
        <v>0.57499999999999996</v>
      </c>
    </row>
    <row r="42" spans="1:8" x14ac:dyDescent="0.35">
      <c r="A42" s="2" t="s">
        <v>134</v>
      </c>
      <c r="B42" s="2" t="s">
        <v>135</v>
      </c>
      <c r="C42" t="s">
        <v>136</v>
      </c>
      <c r="D42" t="s">
        <v>121</v>
      </c>
      <c r="E42">
        <v>3</v>
      </c>
      <c r="F42" s="3">
        <f t="shared" si="0"/>
        <v>2.6086956521739131</v>
      </c>
      <c r="G42" s="3">
        <v>0.5</v>
      </c>
      <c r="H42" s="5">
        <f t="shared" si="1"/>
        <v>0.19166666666666665</v>
      </c>
    </row>
    <row r="43" spans="1:8" x14ac:dyDescent="0.35">
      <c r="A43" s="2" t="s">
        <v>137</v>
      </c>
      <c r="B43" s="2" t="s">
        <v>138</v>
      </c>
      <c r="C43" t="s">
        <v>139</v>
      </c>
      <c r="D43" t="s">
        <v>121</v>
      </c>
      <c r="E43">
        <v>7</v>
      </c>
      <c r="F43" s="3">
        <f t="shared" si="0"/>
        <v>6.0869565217391308</v>
      </c>
      <c r="G43" s="3">
        <v>5</v>
      </c>
      <c r="H43" s="5">
        <f t="shared" si="1"/>
        <v>0.8214285714285714</v>
      </c>
    </row>
    <row r="44" spans="1:8" x14ac:dyDescent="0.35">
      <c r="A44" s="2" t="s">
        <v>140</v>
      </c>
      <c r="B44" s="2" t="s">
        <v>141</v>
      </c>
      <c r="C44" t="s">
        <v>142</v>
      </c>
      <c r="D44" t="s">
        <v>121</v>
      </c>
      <c r="E44">
        <v>7</v>
      </c>
      <c r="F44" s="3">
        <f t="shared" si="0"/>
        <v>6.0869565217391308</v>
      </c>
      <c r="G44" s="3">
        <v>4</v>
      </c>
      <c r="H44" s="5">
        <f t="shared" si="1"/>
        <v>0.65714285714285714</v>
      </c>
    </row>
    <row r="45" spans="1:8" x14ac:dyDescent="0.35">
      <c r="A45" s="2" t="s">
        <v>143</v>
      </c>
      <c r="B45" s="2" t="s">
        <v>144</v>
      </c>
      <c r="C45" t="s">
        <v>145</v>
      </c>
      <c r="D45" t="s">
        <v>146</v>
      </c>
      <c r="E45">
        <v>21</v>
      </c>
      <c r="F45" s="3">
        <f t="shared" si="0"/>
        <v>18.260869565217394</v>
      </c>
      <c r="G45" s="3">
        <v>4.5</v>
      </c>
      <c r="H45" s="5">
        <f t="shared" si="1"/>
        <v>0.24642857142857139</v>
      </c>
    </row>
    <row r="46" spans="1:8" x14ac:dyDescent="0.35">
      <c r="A46" s="2" t="s">
        <v>147</v>
      </c>
      <c r="B46" s="2" t="s">
        <v>148</v>
      </c>
      <c r="C46" t="s">
        <v>149</v>
      </c>
      <c r="D46" t="s">
        <v>146</v>
      </c>
      <c r="E46">
        <v>19</v>
      </c>
      <c r="F46" s="3">
        <f t="shared" si="0"/>
        <v>16.521739130434785</v>
      </c>
      <c r="G46" s="3">
        <v>2.5</v>
      </c>
      <c r="H46" s="5">
        <f t="shared" si="1"/>
        <v>0.15131578947368418</v>
      </c>
    </row>
    <row r="47" spans="1:8" x14ac:dyDescent="0.35">
      <c r="A47" s="2" t="s">
        <v>150</v>
      </c>
      <c r="B47" s="2" t="s">
        <v>151</v>
      </c>
      <c r="C47" t="s">
        <v>152</v>
      </c>
      <c r="D47" t="s">
        <v>146</v>
      </c>
      <c r="E47">
        <v>23</v>
      </c>
      <c r="F47" s="3">
        <f t="shared" si="0"/>
        <v>20</v>
      </c>
      <c r="G47" s="3">
        <v>5.51</v>
      </c>
      <c r="H47" s="5">
        <f t="shared" si="1"/>
        <v>0.27549999999999997</v>
      </c>
    </row>
    <row r="48" spans="1:8" x14ac:dyDescent="0.35">
      <c r="A48" s="2" t="s">
        <v>153</v>
      </c>
      <c r="B48" s="2" t="s">
        <v>154</v>
      </c>
      <c r="C48" t="s">
        <v>155</v>
      </c>
      <c r="D48" t="s">
        <v>146</v>
      </c>
      <c r="E48">
        <v>23</v>
      </c>
      <c r="F48" s="3">
        <f t="shared" si="0"/>
        <v>20</v>
      </c>
      <c r="G48" s="3">
        <v>8.9</v>
      </c>
      <c r="H48" s="5">
        <f t="shared" si="1"/>
        <v>0.44500000000000001</v>
      </c>
    </row>
    <row r="49" spans="1:8" x14ac:dyDescent="0.35">
      <c r="A49" s="2" t="s">
        <v>156</v>
      </c>
      <c r="B49" s="2" t="s">
        <v>157</v>
      </c>
      <c r="C49" t="s">
        <v>158</v>
      </c>
      <c r="D49" t="s">
        <v>146</v>
      </c>
      <c r="E49">
        <v>23</v>
      </c>
      <c r="F49" s="3">
        <f t="shared" si="0"/>
        <v>20</v>
      </c>
      <c r="G49" s="3">
        <v>8.9</v>
      </c>
      <c r="H49" s="5">
        <f t="shared" si="1"/>
        <v>0.44500000000000001</v>
      </c>
    </row>
    <row r="50" spans="1:8" x14ac:dyDescent="0.35">
      <c r="A50" s="2" t="s">
        <v>159</v>
      </c>
      <c r="B50" s="2" t="s">
        <v>160</v>
      </c>
      <c r="C50" t="s">
        <v>161</v>
      </c>
      <c r="D50" t="s">
        <v>146</v>
      </c>
      <c r="E50">
        <v>28</v>
      </c>
      <c r="F50" s="3">
        <f t="shared" si="0"/>
        <v>24.347826086956523</v>
      </c>
      <c r="G50" s="3">
        <v>12</v>
      </c>
      <c r="H50" s="5">
        <f t="shared" si="1"/>
        <v>0.49285714285714283</v>
      </c>
    </row>
    <row r="51" spans="1:8" x14ac:dyDescent="0.35">
      <c r="A51" s="2" t="s">
        <v>162</v>
      </c>
      <c r="B51" s="2" t="s">
        <v>163</v>
      </c>
      <c r="C51" t="s">
        <v>164</v>
      </c>
      <c r="D51" t="s">
        <v>165</v>
      </c>
      <c r="E51">
        <v>17</v>
      </c>
      <c r="F51" s="3">
        <f t="shared" si="0"/>
        <v>14.782608695652176</v>
      </c>
      <c r="G51" s="3">
        <v>2</v>
      </c>
      <c r="H51" s="5">
        <f t="shared" si="1"/>
        <v>0.13529411764705881</v>
      </c>
    </row>
    <row r="52" spans="1:8" x14ac:dyDescent="0.35">
      <c r="A52" s="2" t="s">
        <v>166</v>
      </c>
      <c r="B52" s="2" t="s">
        <v>167</v>
      </c>
      <c r="C52" t="s">
        <v>168</v>
      </c>
      <c r="D52" t="s">
        <v>169</v>
      </c>
      <c r="E52">
        <v>19</v>
      </c>
      <c r="F52" s="3">
        <f t="shared" si="0"/>
        <v>16.521739130434785</v>
      </c>
      <c r="G52" s="3">
        <v>3</v>
      </c>
      <c r="H52" s="5">
        <f t="shared" si="1"/>
        <v>0.18157894736842103</v>
      </c>
    </row>
    <row r="53" spans="1:8" x14ac:dyDescent="0.35">
      <c r="A53" s="2" t="s">
        <v>170</v>
      </c>
      <c r="B53" s="2" t="s">
        <v>171</v>
      </c>
      <c r="C53" t="s">
        <v>172</v>
      </c>
      <c r="D53" t="s">
        <v>173</v>
      </c>
      <c r="E53">
        <v>33</v>
      </c>
      <c r="F53" s="3">
        <f t="shared" si="0"/>
        <v>28.695652173913047</v>
      </c>
      <c r="G53" s="3">
        <v>15.09</v>
      </c>
      <c r="H53" s="5">
        <f t="shared" si="1"/>
        <v>0.52586363636363631</v>
      </c>
    </row>
    <row r="54" spans="1:8" x14ac:dyDescent="0.35">
      <c r="A54" s="2" t="s">
        <v>174</v>
      </c>
      <c r="B54" s="2" t="s">
        <v>175</v>
      </c>
      <c r="C54" t="s">
        <v>176</v>
      </c>
      <c r="D54" t="s">
        <v>173</v>
      </c>
      <c r="E54">
        <v>24</v>
      </c>
      <c r="F54" s="3">
        <f t="shared" si="0"/>
        <v>20.869565217391305</v>
      </c>
      <c r="G54" s="3"/>
      <c r="H54" s="5">
        <f t="shared" si="1"/>
        <v>0</v>
      </c>
    </row>
    <row r="55" spans="1:8" x14ac:dyDescent="0.35">
      <c r="A55" s="2" t="s">
        <v>177</v>
      </c>
      <c r="B55" s="2" t="s">
        <v>178</v>
      </c>
      <c r="C55" t="s">
        <v>179</v>
      </c>
      <c r="D55" t="s">
        <v>173</v>
      </c>
      <c r="E55">
        <v>24</v>
      </c>
      <c r="F55" s="3">
        <f t="shared" si="0"/>
        <v>20.869565217391305</v>
      </c>
      <c r="G55" s="3"/>
      <c r="H55" s="5">
        <f t="shared" si="1"/>
        <v>0</v>
      </c>
    </row>
    <row r="56" spans="1:8" x14ac:dyDescent="0.35">
      <c r="A56" s="2" t="s">
        <v>180</v>
      </c>
      <c r="B56" s="2" t="s">
        <v>181</v>
      </c>
      <c r="C56" t="s">
        <v>182</v>
      </c>
      <c r="D56" t="s">
        <v>173</v>
      </c>
      <c r="E56">
        <v>25</v>
      </c>
      <c r="F56" s="3">
        <f t="shared" si="0"/>
        <v>21.739130434782609</v>
      </c>
      <c r="G56" s="3"/>
      <c r="H56" s="5">
        <f t="shared" si="1"/>
        <v>0</v>
      </c>
    </row>
    <row r="57" spans="1:8" x14ac:dyDescent="0.35">
      <c r="A57" s="2" t="s">
        <v>183</v>
      </c>
      <c r="B57" s="2" t="s">
        <v>184</v>
      </c>
      <c r="C57" t="s">
        <v>185</v>
      </c>
      <c r="D57" t="s">
        <v>186</v>
      </c>
      <c r="E57">
        <v>1</v>
      </c>
      <c r="F57" s="3">
        <f t="shared" si="0"/>
        <v>0.86956521739130443</v>
      </c>
      <c r="G57" s="3"/>
      <c r="H57" s="5">
        <f t="shared" si="1"/>
        <v>0</v>
      </c>
    </row>
    <row r="58" spans="1:8" x14ac:dyDescent="0.35">
      <c r="A58" s="2" t="s">
        <v>187</v>
      </c>
      <c r="B58" s="2" t="s">
        <v>188</v>
      </c>
      <c r="C58" t="s">
        <v>189</v>
      </c>
      <c r="D58" t="s">
        <v>186</v>
      </c>
      <c r="E58">
        <v>1</v>
      </c>
      <c r="F58" s="3">
        <f t="shared" si="0"/>
        <v>0.86956521739130443</v>
      </c>
      <c r="G58" s="3"/>
      <c r="H58" s="5">
        <f t="shared" si="1"/>
        <v>0</v>
      </c>
    </row>
    <row r="59" spans="1:8" x14ac:dyDescent="0.35">
      <c r="A59" s="2" t="s">
        <v>190</v>
      </c>
      <c r="B59" s="2" t="s">
        <v>191</v>
      </c>
      <c r="C59" t="s">
        <v>192</v>
      </c>
      <c r="D59" t="s">
        <v>186</v>
      </c>
      <c r="E59">
        <v>2</v>
      </c>
      <c r="F59" s="3">
        <f t="shared" si="0"/>
        <v>1.7391304347826089</v>
      </c>
      <c r="G59" s="3"/>
      <c r="H59" s="5">
        <f t="shared" si="1"/>
        <v>0</v>
      </c>
    </row>
    <row r="60" spans="1:8" x14ac:dyDescent="0.35">
      <c r="A60" s="2" t="s">
        <v>193</v>
      </c>
      <c r="B60" s="2" t="s">
        <v>194</v>
      </c>
      <c r="C60" t="s">
        <v>195</v>
      </c>
      <c r="D60" t="s">
        <v>186</v>
      </c>
      <c r="E60">
        <v>2</v>
      </c>
      <c r="F60" s="3">
        <f t="shared" si="0"/>
        <v>1.7391304347826089</v>
      </c>
      <c r="G60" s="3"/>
      <c r="H60" s="5">
        <f t="shared" si="1"/>
        <v>0</v>
      </c>
    </row>
    <row r="61" spans="1:8" x14ac:dyDescent="0.35">
      <c r="A61" s="2" t="s">
        <v>196</v>
      </c>
      <c r="B61" s="2" t="s">
        <v>197</v>
      </c>
      <c r="C61" t="s">
        <v>198</v>
      </c>
      <c r="D61" t="s">
        <v>186</v>
      </c>
      <c r="E61">
        <v>2</v>
      </c>
      <c r="F61" s="3">
        <f t="shared" si="0"/>
        <v>1.7391304347826089</v>
      </c>
      <c r="G61" s="3"/>
      <c r="H61" s="5">
        <f t="shared" si="1"/>
        <v>0</v>
      </c>
    </row>
    <row r="62" spans="1:8" x14ac:dyDescent="0.35">
      <c r="A62" s="2" t="s">
        <v>199</v>
      </c>
      <c r="B62" s="2" t="s">
        <v>200</v>
      </c>
      <c r="C62" t="s">
        <v>201</v>
      </c>
      <c r="D62" t="s">
        <v>186</v>
      </c>
      <c r="E62">
        <v>2</v>
      </c>
      <c r="F62" s="3">
        <f t="shared" si="0"/>
        <v>1.7391304347826089</v>
      </c>
      <c r="G62" s="3"/>
      <c r="H62" s="5">
        <f t="shared" si="1"/>
        <v>0</v>
      </c>
    </row>
    <row r="63" spans="1:8" x14ac:dyDescent="0.35">
      <c r="A63" s="2" t="s">
        <v>202</v>
      </c>
      <c r="B63" s="2" t="s">
        <v>203</v>
      </c>
      <c r="C63" t="s">
        <v>204</v>
      </c>
      <c r="D63" t="s">
        <v>186</v>
      </c>
      <c r="E63">
        <v>2</v>
      </c>
      <c r="F63" s="3">
        <f t="shared" si="0"/>
        <v>1.7391304347826089</v>
      </c>
      <c r="G63" s="3"/>
      <c r="H63" s="5">
        <f t="shared" si="1"/>
        <v>0</v>
      </c>
    </row>
    <row r="64" spans="1:8" x14ac:dyDescent="0.35">
      <c r="A64" s="2" t="s">
        <v>205</v>
      </c>
      <c r="B64" s="2" t="s">
        <v>206</v>
      </c>
      <c r="C64" t="s">
        <v>207</v>
      </c>
      <c r="D64" t="s">
        <v>186</v>
      </c>
      <c r="E64">
        <v>2</v>
      </c>
      <c r="F64" s="3">
        <f t="shared" si="0"/>
        <v>1.7391304347826089</v>
      </c>
      <c r="G64" s="3"/>
      <c r="H64" s="5">
        <f t="shared" si="1"/>
        <v>0</v>
      </c>
    </row>
    <row r="65" spans="1:8" x14ac:dyDescent="0.35">
      <c r="A65" s="2" t="s">
        <v>208</v>
      </c>
      <c r="B65" s="2" t="s">
        <v>209</v>
      </c>
      <c r="C65" t="s">
        <v>210</v>
      </c>
      <c r="D65" t="s">
        <v>211</v>
      </c>
      <c r="E65">
        <v>34</v>
      </c>
      <c r="F65" s="3">
        <f t="shared" si="0"/>
        <v>29.565217391304351</v>
      </c>
      <c r="G65" s="3">
        <v>7.42</v>
      </c>
      <c r="H65" s="5">
        <f t="shared" si="1"/>
        <v>0.25097058823529411</v>
      </c>
    </row>
    <row r="66" spans="1:8" x14ac:dyDescent="0.35">
      <c r="A66" s="2" t="s">
        <v>212</v>
      </c>
      <c r="B66" s="2" t="s">
        <v>213</v>
      </c>
      <c r="C66" t="s">
        <v>214</v>
      </c>
      <c r="D66" t="s">
        <v>211</v>
      </c>
      <c r="E66">
        <v>35</v>
      </c>
      <c r="F66" s="3">
        <f t="shared" si="0"/>
        <v>30.434782608695656</v>
      </c>
      <c r="G66" s="3">
        <v>7.14</v>
      </c>
      <c r="H66" s="5">
        <f t="shared" si="1"/>
        <v>0.23459999999999995</v>
      </c>
    </row>
    <row r="67" spans="1:8" x14ac:dyDescent="0.35">
      <c r="A67" s="2" t="s">
        <v>215</v>
      </c>
      <c r="B67" s="2" t="s">
        <v>216</v>
      </c>
      <c r="C67" t="s">
        <v>217</v>
      </c>
      <c r="D67" t="s">
        <v>211</v>
      </c>
      <c r="E67">
        <v>35</v>
      </c>
      <c r="F67" s="3">
        <f t="shared" ref="F67:F130" si="2">E67/1.15</f>
        <v>30.434782608695656</v>
      </c>
      <c r="G67" s="3">
        <v>8.59</v>
      </c>
      <c r="H67" s="5">
        <f t="shared" ref="H67:H130" si="3">G67/F67</f>
        <v>0.28224285714285713</v>
      </c>
    </row>
    <row r="68" spans="1:8" x14ac:dyDescent="0.35">
      <c r="A68" s="2" t="s">
        <v>218</v>
      </c>
      <c r="B68" s="2" t="s">
        <v>219</v>
      </c>
      <c r="C68" t="s">
        <v>220</v>
      </c>
      <c r="D68" t="s">
        <v>211</v>
      </c>
      <c r="E68">
        <v>37</v>
      </c>
      <c r="F68" s="3">
        <f t="shared" si="2"/>
        <v>32.173913043478265</v>
      </c>
      <c r="G68" s="3">
        <v>9.5</v>
      </c>
      <c r="H68" s="5">
        <f t="shared" si="3"/>
        <v>0.29527027027027025</v>
      </c>
    </row>
    <row r="69" spans="1:8" x14ac:dyDescent="0.35">
      <c r="A69" s="2" t="s">
        <v>221</v>
      </c>
      <c r="B69" s="2" t="s">
        <v>222</v>
      </c>
      <c r="C69" t="s">
        <v>223</v>
      </c>
      <c r="D69" t="s">
        <v>211</v>
      </c>
      <c r="E69">
        <v>35</v>
      </c>
      <c r="F69" s="3">
        <f t="shared" si="2"/>
        <v>30.434782608695656</v>
      </c>
      <c r="G69" s="3">
        <v>7.87</v>
      </c>
      <c r="H69" s="5">
        <f t="shared" si="3"/>
        <v>0.25858571428571425</v>
      </c>
    </row>
    <row r="70" spans="1:8" x14ac:dyDescent="0.35">
      <c r="A70" s="2" t="s">
        <v>224</v>
      </c>
      <c r="B70" s="2" t="s">
        <v>225</v>
      </c>
      <c r="C70" t="s">
        <v>226</v>
      </c>
      <c r="D70" t="s">
        <v>227</v>
      </c>
      <c r="E70">
        <v>16</v>
      </c>
      <c r="F70" s="3">
        <f t="shared" si="2"/>
        <v>13.913043478260871</v>
      </c>
      <c r="G70" s="3">
        <v>2.7</v>
      </c>
      <c r="H70" s="5">
        <f t="shared" si="3"/>
        <v>0.1940625</v>
      </c>
    </row>
    <row r="71" spans="1:8" x14ac:dyDescent="0.35">
      <c r="A71" s="2" t="s">
        <v>228</v>
      </c>
      <c r="B71" s="2" t="s">
        <v>229</v>
      </c>
      <c r="C71" t="s">
        <v>230</v>
      </c>
      <c r="D71" t="s">
        <v>227</v>
      </c>
      <c r="E71">
        <v>23</v>
      </c>
      <c r="F71" s="3">
        <f t="shared" si="2"/>
        <v>20</v>
      </c>
      <c r="G71" s="3">
        <v>3.04</v>
      </c>
      <c r="H71" s="5">
        <f t="shared" si="3"/>
        <v>0.152</v>
      </c>
    </row>
    <row r="72" spans="1:8" x14ac:dyDescent="0.35">
      <c r="A72" s="2" t="s">
        <v>231</v>
      </c>
      <c r="B72" s="2" t="s">
        <v>232</v>
      </c>
      <c r="C72" t="s">
        <v>233</v>
      </c>
      <c r="D72" t="s">
        <v>227</v>
      </c>
      <c r="E72">
        <v>29</v>
      </c>
      <c r="F72" s="3">
        <f t="shared" si="2"/>
        <v>25.217391304347828</v>
      </c>
      <c r="G72" s="3">
        <v>11.25</v>
      </c>
      <c r="H72" s="5">
        <f t="shared" si="3"/>
        <v>0.44612068965517238</v>
      </c>
    </row>
    <row r="73" spans="1:8" x14ac:dyDescent="0.35">
      <c r="A73" s="2" t="s">
        <v>234</v>
      </c>
      <c r="B73" s="2" t="s">
        <v>235</v>
      </c>
      <c r="C73" t="s">
        <v>236</v>
      </c>
      <c r="D73" t="s">
        <v>237</v>
      </c>
      <c r="E73">
        <v>35</v>
      </c>
      <c r="F73" s="3">
        <f t="shared" si="2"/>
        <v>30.434782608695656</v>
      </c>
      <c r="G73" s="3">
        <v>10.37</v>
      </c>
      <c r="H73" s="5">
        <f t="shared" si="3"/>
        <v>0.34072857142857138</v>
      </c>
    </row>
    <row r="74" spans="1:8" x14ac:dyDescent="0.35">
      <c r="A74" s="2" t="s">
        <v>238</v>
      </c>
      <c r="B74" s="2" t="s">
        <v>239</v>
      </c>
      <c r="C74" t="s">
        <v>240</v>
      </c>
      <c r="D74" t="s">
        <v>237</v>
      </c>
      <c r="E74">
        <v>39</v>
      </c>
      <c r="F74" s="3">
        <f t="shared" si="2"/>
        <v>33.913043478260875</v>
      </c>
      <c r="G74" s="3">
        <v>13.69</v>
      </c>
      <c r="H74" s="5">
        <f t="shared" si="3"/>
        <v>0.4036794871794871</v>
      </c>
    </row>
    <row r="75" spans="1:8" x14ac:dyDescent="0.35">
      <c r="A75" s="2" t="s">
        <v>241</v>
      </c>
      <c r="B75" s="2" t="s">
        <v>242</v>
      </c>
      <c r="C75" t="s">
        <v>243</v>
      </c>
      <c r="D75" t="s">
        <v>237</v>
      </c>
      <c r="E75">
        <v>31</v>
      </c>
      <c r="F75" s="3">
        <f t="shared" si="2"/>
        <v>26.956521739130437</v>
      </c>
      <c r="G75" s="3">
        <v>6.52</v>
      </c>
      <c r="H75" s="5">
        <f t="shared" si="3"/>
        <v>0.24187096774193545</v>
      </c>
    </row>
    <row r="76" spans="1:8" x14ac:dyDescent="0.35">
      <c r="A76" s="2" t="s">
        <v>244</v>
      </c>
      <c r="B76" s="2" t="s">
        <v>245</v>
      </c>
      <c r="C76" t="s">
        <v>246</v>
      </c>
      <c r="D76" t="s">
        <v>237</v>
      </c>
      <c r="E76">
        <v>29</v>
      </c>
      <c r="F76" s="3">
        <f t="shared" si="2"/>
        <v>25.217391304347828</v>
      </c>
      <c r="G76" s="3">
        <v>3.9</v>
      </c>
      <c r="H76" s="5">
        <f t="shared" si="3"/>
        <v>0.15465517241379309</v>
      </c>
    </row>
    <row r="77" spans="1:8" x14ac:dyDescent="0.35">
      <c r="A77" s="2" t="s">
        <v>247</v>
      </c>
      <c r="B77" s="2" t="s">
        <v>248</v>
      </c>
      <c r="C77" t="s">
        <v>249</v>
      </c>
      <c r="D77" t="s">
        <v>237</v>
      </c>
      <c r="E77">
        <v>37</v>
      </c>
      <c r="F77" s="3">
        <f t="shared" si="2"/>
        <v>32.173913043478265</v>
      </c>
      <c r="G77" s="3">
        <v>7.51</v>
      </c>
      <c r="H77" s="5">
        <f t="shared" si="3"/>
        <v>0.23341891891891889</v>
      </c>
    </row>
    <row r="78" spans="1:8" x14ac:dyDescent="0.35">
      <c r="A78" s="2" t="s">
        <v>250</v>
      </c>
      <c r="B78" s="2" t="s">
        <v>251</v>
      </c>
      <c r="C78" t="s">
        <v>252</v>
      </c>
      <c r="D78" t="s">
        <v>237</v>
      </c>
      <c r="E78">
        <v>39</v>
      </c>
      <c r="F78" s="3">
        <f t="shared" si="2"/>
        <v>33.913043478260875</v>
      </c>
      <c r="G78" s="3">
        <v>9.8000000000000007</v>
      </c>
      <c r="H78" s="5">
        <f t="shared" si="3"/>
        <v>0.28897435897435897</v>
      </c>
    </row>
    <row r="79" spans="1:8" x14ac:dyDescent="0.35">
      <c r="A79" s="2" t="s">
        <v>253</v>
      </c>
      <c r="B79" s="2" t="s">
        <v>254</v>
      </c>
      <c r="C79" t="s">
        <v>255</v>
      </c>
      <c r="D79" t="s">
        <v>237</v>
      </c>
      <c r="E79">
        <v>37</v>
      </c>
      <c r="F79" s="3">
        <f t="shared" si="2"/>
        <v>32.173913043478265</v>
      </c>
      <c r="G79" s="3">
        <v>9.0399999999999991</v>
      </c>
      <c r="H79" s="5">
        <f t="shared" si="3"/>
        <v>0.28097297297297291</v>
      </c>
    </row>
    <row r="80" spans="1:8" x14ac:dyDescent="0.35">
      <c r="A80" s="2" t="s">
        <v>256</v>
      </c>
      <c r="B80" s="2" t="s">
        <v>257</v>
      </c>
      <c r="C80" t="s">
        <v>258</v>
      </c>
      <c r="D80" t="s">
        <v>237</v>
      </c>
      <c r="E80">
        <v>26</v>
      </c>
      <c r="F80" s="3">
        <f t="shared" si="2"/>
        <v>22.608695652173914</v>
      </c>
      <c r="G80" s="3">
        <v>3.1</v>
      </c>
      <c r="H80" s="5">
        <f t="shared" si="3"/>
        <v>0.13711538461538461</v>
      </c>
    </row>
    <row r="81" spans="1:8" x14ac:dyDescent="0.35">
      <c r="A81" s="2" t="s">
        <v>259</v>
      </c>
      <c r="B81" s="2" t="s">
        <v>260</v>
      </c>
      <c r="C81" t="s">
        <v>261</v>
      </c>
      <c r="D81" t="s">
        <v>237</v>
      </c>
      <c r="E81">
        <v>26</v>
      </c>
      <c r="F81" s="3">
        <f t="shared" si="2"/>
        <v>22.608695652173914</v>
      </c>
      <c r="G81" s="3">
        <v>3.6</v>
      </c>
      <c r="H81" s="5">
        <f t="shared" si="3"/>
        <v>0.15923076923076923</v>
      </c>
    </row>
    <row r="82" spans="1:8" x14ac:dyDescent="0.35">
      <c r="A82" s="2" t="s">
        <v>262</v>
      </c>
      <c r="B82" s="2" t="s">
        <v>263</v>
      </c>
      <c r="C82" t="s">
        <v>264</v>
      </c>
      <c r="D82" t="s">
        <v>265</v>
      </c>
      <c r="E82">
        <v>35</v>
      </c>
      <c r="F82" s="3">
        <f t="shared" si="2"/>
        <v>30.434782608695656</v>
      </c>
      <c r="G82" s="3">
        <v>7.84</v>
      </c>
      <c r="H82" s="5">
        <f t="shared" si="3"/>
        <v>0.25759999999999994</v>
      </c>
    </row>
    <row r="83" spans="1:8" x14ac:dyDescent="0.35">
      <c r="A83" s="2" t="s">
        <v>266</v>
      </c>
      <c r="B83" s="2" t="s">
        <v>267</v>
      </c>
      <c r="C83" t="s">
        <v>268</v>
      </c>
      <c r="D83" t="s">
        <v>265</v>
      </c>
      <c r="E83">
        <v>33</v>
      </c>
      <c r="F83" s="3">
        <f t="shared" si="2"/>
        <v>28.695652173913047</v>
      </c>
      <c r="G83" s="3">
        <v>4.26</v>
      </c>
      <c r="H83" s="5">
        <f t="shared" si="3"/>
        <v>0.14845454545454542</v>
      </c>
    </row>
    <row r="84" spans="1:8" x14ac:dyDescent="0.35">
      <c r="A84" s="2" t="s">
        <v>269</v>
      </c>
      <c r="B84" s="2" t="s">
        <v>270</v>
      </c>
      <c r="C84" t="s">
        <v>271</v>
      </c>
      <c r="D84" t="s">
        <v>265</v>
      </c>
      <c r="E84">
        <v>35</v>
      </c>
      <c r="F84" s="3">
        <f t="shared" si="2"/>
        <v>30.434782608695656</v>
      </c>
      <c r="G84" s="3">
        <v>7.2</v>
      </c>
      <c r="H84" s="5">
        <f t="shared" si="3"/>
        <v>0.23657142857142854</v>
      </c>
    </row>
    <row r="85" spans="1:8" x14ac:dyDescent="0.35">
      <c r="A85" s="2" t="s">
        <v>272</v>
      </c>
      <c r="B85" s="2" t="s">
        <v>273</v>
      </c>
      <c r="C85" t="s">
        <v>274</v>
      </c>
      <c r="D85" t="s">
        <v>265</v>
      </c>
      <c r="E85">
        <v>35</v>
      </c>
      <c r="F85" s="3">
        <f t="shared" si="2"/>
        <v>30.434782608695656</v>
      </c>
      <c r="G85" s="3">
        <v>5.77</v>
      </c>
      <c r="H85" s="5">
        <f t="shared" si="3"/>
        <v>0.18958571428571425</v>
      </c>
    </row>
    <row r="86" spans="1:8" x14ac:dyDescent="0.35">
      <c r="A86" s="2" t="s">
        <v>275</v>
      </c>
      <c r="B86" s="2" t="s">
        <v>276</v>
      </c>
      <c r="C86" t="s">
        <v>277</v>
      </c>
      <c r="D86" t="s">
        <v>265</v>
      </c>
      <c r="E86">
        <v>29</v>
      </c>
      <c r="F86" s="3">
        <f t="shared" si="2"/>
        <v>25.217391304347828</v>
      </c>
      <c r="G86" s="3">
        <v>5.39</v>
      </c>
      <c r="H86" s="5">
        <f t="shared" si="3"/>
        <v>0.21374137931034479</v>
      </c>
    </row>
    <row r="87" spans="1:8" x14ac:dyDescent="0.35">
      <c r="A87" s="2" t="s">
        <v>278</v>
      </c>
      <c r="B87" s="2" t="s">
        <v>279</v>
      </c>
      <c r="C87" t="s">
        <v>280</v>
      </c>
      <c r="D87" t="s">
        <v>265</v>
      </c>
      <c r="E87">
        <v>35</v>
      </c>
      <c r="F87" s="3">
        <f t="shared" si="2"/>
        <v>30.434782608695656</v>
      </c>
      <c r="G87" s="3">
        <v>7.31</v>
      </c>
      <c r="H87" s="5">
        <f t="shared" si="3"/>
        <v>0.24018571428571425</v>
      </c>
    </row>
    <row r="88" spans="1:8" x14ac:dyDescent="0.35">
      <c r="A88" s="2" t="s">
        <v>281</v>
      </c>
      <c r="B88" s="2" t="s">
        <v>282</v>
      </c>
      <c r="C88" t="s">
        <v>283</v>
      </c>
      <c r="D88" t="s">
        <v>265</v>
      </c>
      <c r="E88">
        <v>37</v>
      </c>
      <c r="F88" s="3">
        <f t="shared" si="2"/>
        <v>32.173913043478265</v>
      </c>
      <c r="G88" s="3">
        <v>10.25</v>
      </c>
      <c r="H88" s="5">
        <f t="shared" si="3"/>
        <v>0.31858108108108102</v>
      </c>
    </row>
    <row r="89" spans="1:8" x14ac:dyDescent="0.35">
      <c r="A89" s="2" t="s">
        <v>284</v>
      </c>
      <c r="B89" s="2" t="s">
        <v>285</v>
      </c>
      <c r="C89" t="s">
        <v>286</v>
      </c>
      <c r="D89" t="s">
        <v>265</v>
      </c>
      <c r="E89">
        <v>37</v>
      </c>
      <c r="F89" s="3">
        <f t="shared" si="2"/>
        <v>32.173913043478265</v>
      </c>
      <c r="G89" s="3">
        <v>8.82</v>
      </c>
      <c r="H89" s="5">
        <f t="shared" si="3"/>
        <v>0.2741351351351351</v>
      </c>
    </row>
    <row r="90" spans="1:8" x14ac:dyDescent="0.35">
      <c r="A90" s="2" t="s">
        <v>287</v>
      </c>
      <c r="B90" s="2" t="s">
        <v>288</v>
      </c>
      <c r="C90" t="s">
        <v>289</v>
      </c>
      <c r="D90" t="s">
        <v>265</v>
      </c>
      <c r="E90">
        <v>25</v>
      </c>
      <c r="F90" s="3">
        <f t="shared" si="2"/>
        <v>21.739130434782609</v>
      </c>
      <c r="G90" s="3">
        <v>3.27</v>
      </c>
      <c r="H90" s="5">
        <f t="shared" si="3"/>
        <v>0.15042</v>
      </c>
    </row>
    <row r="91" spans="1:8" x14ac:dyDescent="0.35">
      <c r="A91" s="2" t="s">
        <v>290</v>
      </c>
      <c r="B91" s="2" t="s">
        <v>291</v>
      </c>
      <c r="C91" t="s">
        <v>292</v>
      </c>
      <c r="D91" t="s">
        <v>265</v>
      </c>
      <c r="E91">
        <v>31</v>
      </c>
      <c r="F91" s="3">
        <f t="shared" si="2"/>
        <v>26.956521739130437</v>
      </c>
      <c r="G91" s="3">
        <v>5.9</v>
      </c>
      <c r="H91" s="5">
        <f t="shared" si="3"/>
        <v>0.21887096774193548</v>
      </c>
    </row>
    <row r="92" spans="1:8" x14ac:dyDescent="0.35">
      <c r="A92" s="2" t="s">
        <v>293</v>
      </c>
      <c r="B92" s="2" t="s">
        <v>294</v>
      </c>
      <c r="C92" t="s">
        <v>295</v>
      </c>
      <c r="D92" t="s">
        <v>265</v>
      </c>
      <c r="E92">
        <v>35</v>
      </c>
      <c r="F92" s="3">
        <f t="shared" si="2"/>
        <v>30.434782608695656</v>
      </c>
      <c r="G92" s="3">
        <v>9.8800000000000008</v>
      </c>
      <c r="H92" s="5">
        <f t="shared" si="3"/>
        <v>0.32462857142857143</v>
      </c>
    </row>
    <row r="93" spans="1:8" x14ac:dyDescent="0.35">
      <c r="A93" s="2" t="s">
        <v>296</v>
      </c>
      <c r="B93" s="2" t="s">
        <v>297</v>
      </c>
      <c r="C93" t="s">
        <v>298</v>
      </c>
      <c r="D93" t="s">
        <v>265</v>
      </c>
      <c r="E93">
        <v>33</v>
      </c>
      <c r="F93" s="3">
        <f t="shared" si="2"/>
        <v>28.695652173913047</v>
      </c>
      <c r="G93" s="3">
        <v>7.41</v>
      </c>
      <c r="H93" s="5">
        <f t="shared" si="3"/>
        <v>0.25822727272727269</v>
      </c>
    </row>
    <row r="94" spans="1:8" x14ac:dyDescent="0.35">
      <c r="A94" s="2" t="s">
        <v>299</v>
      </c>
      <c r="B94" s="2" t="s">
        <v>300</v>
      </c>
      <c r="C94" t="s">
        <v>301</v>
      </c>
      <c r="D94" t="s">
        <v>302</v>
      </c>
      <c r="E94">
        <v>37</v>
      </c>
      <c r="F94" s="3">
        <f t="shared" si="2"/>
        <v>32.173913043478265</v>
      </c>
      <c r="G94" s="3">
        <v>7.59</v>
      </c>
      <c r="H94" s="5">
        <f t="shared" si="3"/>
        <v>0.23590540540540536</v>
      </c>
    </row>
    <row r="95" spans="1:8" x14ac:dyDescent="0.35">
      <c r="A95" s="2" t="s">
        <v>303</v>
      </c>
      <c r="B95" s="2" t="s">
        <v>304</v>
      </c>
      <c r="C95" t="s">
        <v>305</v>
      </c>
      <c r="D95" t="s">
        <v>302</v>
      </c>
      <c r="E95">
        <v>39</v>
      </c>
      <c r="F95" s="3">
        <f t="shared" si="2"/>
        <v>33.913043478260875</v>
      </c>
      <c r="G95" s="3"/>
      <c r="H95" s="5">
        <f t="shared" si="3"/>
        <v>0</v>
      </c>
    </row>
    <row r="96" spans="1:8" x14ac:dyDescent="0.35">
      <c r="A96" s="2" t="s">
        <v>306</v>
      </c>
      <c r="B96" s="2" t="s">
        <v>307</v>
      </c>
      <c r="C96" t="s">
        <v>308</v>
      </c>
      <c r="D96" t="s">
        <v>302</v>
      </c>
      <c r="E96">
        <v>39</v>
      </c>
      <c r="F96" s="3">
        <f t="shared" si="2"/>
        <v>33.913043478260875</v>
      </c>
      <c r="G96" s="3"/>
      <c r="H96" s="5">
        <f t="shared" si="3"/>
        <v>0</v>
      </c>
    </row>
    <row r="97" spans="1:8" x14ac:dyDescent="0.35">
      <c r="A97" s="2" t="s">
        <v>309</v>
      </c>
      <c r="B97" s="2" t="s">
        <v>310</v>
      </c>
      <c r="C97" t="s">
        <v>311</v>
      </c>
      <c r="D97" t="s">
        <v>312</v>
      </c>
      <c r="E97">
        <v>79</v>
      </c>
      <c r="F97" s="3">
        <f t="shared" si="2"/>
        <v>68.695652173913047</v>
      </c>
      <c r="G97" s="3">
        <v>28.96</v>
      </c>
      <c r="H97" s="5">
        <f t="shared" si="3"/>
        <v>0.42156962025316452</v>
      </c>
    </row>
    <row r="98" spans="1:8" x14ac:dyDescent="0.35">
      <c r="A98" s="2" t="s">
        <v>313</v>
      </c>
      <c r="B98" s="2" t="s">
        <v>314</v>
      </c>
      <c r="C98" t="s">
        <v>315</v>
      </c>
      <c r="D98" t="s">
        <v>312</v>
      </c>
      <c r="E98">
        <v>109</v>
      </c>
      <c r="F98" s="3">
        <f t="shared" si="2"/>
        <v>94.782608695652186</v>
      </c>
      <c r="G98" s="3">
        <v>48.05</v>
      </c>
      <c r="H98" s="5">
        <f t="shared" si="3"/>
        <v>0.50694954128440362</v>
      </c>
    </row>
    <row r="99" spans="1:8" x14ac:dyDescent="0.35">
      <c r="A99" s="2" t="s">
        <v>316</v>
      </c>
      <c r="B99" s="2" t="s">
        <v>317</v>
      </c>
      <c r="C99" t="s">
        <v>318</v>
      </c>
      <c r="D99" t="s">
        <v>312</v>
      </c>
      <c r="E99">
        <v>69</v>
      </c>
      <c r="F99" s="3">
        <f t="shared" si="2"/>
        <v>60.000000000000007</v>
      </c>
      <c r="G99" s="3">
        <v>20.010000000000002</v>
      </c>
      <c r="H99" s="5">
        <f t="shared" si="3"/>
        <v>0.33349999999999996</v>
      </c>
    </row>
    <row r="100" spans="1:8" x14ac:dyDescent="0.35">
      <c r="A100" s="2" t="s">
        <v>319</v>
      </c>
      <c r="B100" s="2" t="s">
        <v>320</v>
      </c>
      <c r="C100" t="s">
        <v>321</v>
      </c>
      <c r="D100" t="s">
        <v>312</v>
      </c>
      <c r="E100">
        <v>49</v>
      </c>
      <c r="F100" s="3">
        <f t="shared" si="2"/>
        <v>42.608695652173914</v>
      </c>
      <c r="G100" s="3">
        <v>15.61</v>
      </c>
      <c r="H100" s="5">
        <f t="shared" si="3"/>
        <v>0.36635714285714283</v>
      </c>
    </row>
    <row r="101" spans="1:8" x14ac:dyDescent="0.35">
      <c r="A101" s="2" t="s">
        <v>322</v>
      </c>
      <c r="B101" s="2" t="s">
        <v>323</v>
      </c>
      <c r="C101" t="s">
        <v>324</v>
      </c>
      <c r="D101" t="s">
        <v>312</v>
      </c>
      <c r="E101">
        <v>49</v>
      </c>
      <c r="F101" s="3">
        <f t="shared" si="2"/>
        <v>42.608695652173914</v>
      </c>
      <c r="G101" s="3">
        <v>10.039999999999999</v>
      </c>
      <c r="H101" s="5">
        <f t="shared" si="3"/>
        <v>0.23563265306122447</v>
      </c>
    </row>
    <row r="102" spans="1:8" x14ac:dyDescent="0.35">
      <c r="A102" s="2" t="s">
        <v>325</v>
      </c>
      <c r="B102" s="2" t="s">
        <v>326</v>
      </c>
      <c r="C102" t="s">
        <v>327</v>
      </c>
      <c r="D102" t="s">
        <v>312</v>
      </c>
      <c r="E102">
        <v>49</v>
      </c>
      <c r="F102" s="3">
        <f t="shared" si="2"/>
        <v>42.608695652173914</v>
      </c>
      <c r="G102" s="3">
        <v>8.7899999999999991</v>
      </c>
      <c r="H102" s="5">
        <f t="shared" si="3"/>
        <v>0.20629591836734693</v>
      </c>
    </row>
    <row r="103" spans="1:8" x14ac:dyDescent="0.35">
      <c r="A103" s="2" t="s">
        <v>328</v>
      </c>
      <c r="B103" s="2" t="s">
        <v>329</v>
      </c>
      <c r="C103" t="s">
        <v>330</v>
      </c>
      <c r="D103" t="s">
        <v>331</v>
      </c>
      <c r="E103">
        <v>37</v>
      </c>
      <c r="F103" s="3">
        <f t="shared" si="2"/>
        <v>32.173913043478265</v>
      </c>
      <c r="G103" s="3">
        <v>10.050000000000001</v>
      </c>
      <c r="H103" s="5">
        <f t="shared" si="3"/>
        <v>0.31236486486486487</v>
      </c>
    </row>
    <row r="104" spans="1:8" x14ac:dyDescent="0.35">
      <c r="A104" s="2" t="s">
        <v>332</v>
      </c>
      <c r="B104" s="2" t="s">
        <v>333</v>
      </c>
      <c r="C104" t="s">
        <v>334</v>
      </c>
      <c r="D104" t="s">
        <v>331</v>
      </c>
      <c r="E104">
        <v>39</v>
      </c>
      <c r="F104" s="3">
        <f t="shared" si="2"/>
        <v>33.913043478260875</v>
      </c>
      <c r="G104" s="3">
        <v>7.11</v>
      </c>
      <c r="H104" s="5">
        <f t="shared" si="3"/>
        <v>0.20965384615384614</v>
      </c>
    </row>
    <row r="105" spans="1:8" x14ac:dyDescent="0.35">
      <c r="A105" s="2" t="s">
        <v>335</v>
      </c>
      <c r="B105" s="2" t="s">
        <v>336</v>
      </c>
      <c r="C105" t="s">
        <v>337</v>
      </c>
      <c r="D105" t="s">
        <v>338</v>
      </c>
      <c r="E105">
        <v>35</v>
      </c>
      <c r="F105" s="3">
        <f t="shared" si="2"/>
        <v>30.434782608695656</v>
      </c>
      <c r="G105" s="3">
        <v>5.53</v>
      </c>
      <c r="H105" s="5">
        <f t="shared" si="3"/>
        <v>0.18169999999999997</v>
      </c>
    </row>
    <row r="106" spans="1:8" x14ac:dyDescent="0.35">
      <c r="A106" s="2" t="s">
        <v>339</v>
      </c>
      <c r="B106" s="2" t="s">
        <v>340</v>
      </c>
      <c r="C106" t="s">
        <v>341</v>
      </c>
      <c r="D106" t="s">
        <v>338</v>
      </c>
      <c r="E106">
        <v>37</v>
      </c>
      <c r="F106" s="3">
        <f t="shared" si="2"/>
        <v>32.173913043478265</v>
      </c>
      <c r="G106" s="3">
        <v>5.56</v>
      </c>
      <c r="H106" s="5">
        <f t="shared" si="3"/>
        <v>0.17281081081081079</v>
      </c>
    </row>
    <row r="107" spans="1:8" x14ac:dyDescent="0.35">
      <c r="A107" s="2" t="s">
        <v>342</v>
      </c>
      <c r="B107" s="2" t="s">
        <v>343</v>
      </c>
      <c r="C107" t="s">
        <v>344</v>
      </c>
      <c r="D107" t="s">
        <v>345</v>
      </c>
      <c r="E107">
        <v>35</v>
      </c>
      <c r="F107" s="3">
        <f t="shared" si="2"/>
        <v>30.434782608695656</v>
      </c>
      <c r="G107" s="3">
        <v>7.76</v>
      </c>
      <c r="H107" s="5">
        <f t="shared" si="3"/>
        <v>0.25497142857142852</v>
      </c>
    </row>
    <row r="108" spans="1:8" x14ac:dyDescent="0.35">
      <c r="A108" s="2" t="s">
        <v>346</v>
      </c>
      <c r="B108" s="2" t="s">
        <v>347</v>
      </c>
      <c r="C108" t="s">
        <v>348</v>
      </c>
      <c r="D108" t="s">
        <v>345</v>
      </c>
      <c r="E108">
        <v>41</v>
      </c>
      <c r="F108" s="3">
        <f t="shared" si="2"/>
        <v>35.652173913043484</v>
      </c>
      <c r="G108" s="3">
        <v>9.57</v>
      </c>
      <c r="H108" s="5">
        <f t="shared" si="3"/>
        <v>0.26842682926829264</v>
      </c>
    </row>
    <row r="109" spans="1:8" x14ac:dyDescent="0.35">
      <c r="A109" s="2" t="s">
        <v>349</v>
      </c>
      <c r="B109" s="2" t="s">
        <v>350</v>
      </c>
      <c r="C109" t="s">
        <v>351</v>
      </c>
      <c r="D109" t="s">
        <v>352</v>
      </c>
      <c r="E109">
        <v>22</v>
      </c>
      <c r="F109" s="3">
        <f t="shared" si="2"/>
        <v>19.130434782608699</v>
      </c>
      <c r="G109" s="3">
        <v>5.26</v>
      </c>
      <c r="H109" s="5">
        <f t="shared" si="3"/>
        <v>0.2749545454545454</v>
      </c>
    </row>
    <row r="110" spans="1:8" x14ac:dyDescent="0.35">
      <c r="A110" s="2" t="s">
        <v>353</v>
      </c>
      <c r="B110" s="2" t="s">
        <v>354</v>
      </c>
      <c r="C110" t="s">
        <v>355</v>
      </c>
      <c r="D110" t="s">
        <v>352</v>
      </c>
      <c r="E110">
        <v>23</v>
      </c>
      <c r="F110" s="3">
        <f t="shared" si="2"/>
        <v>20</v>
      </c>
      <c r="G110" s="3">
        <v>5.74</v>
      </c>
      <c r="H110" s="5">
        <f t="shared" si="3"/>
        <v>0.28700000000000003</v>
      </c>
    </row>
    <row r="111" spans="1:8" x14ac:dyDescent="0.35">
      <c r="A111" s="2" t="s">
        <v>356</v>
      </c>
      <c r="B111" s="2" t="s">
        <v>357</v>
      </c>
      <c r="C111" t="s">
        <v>358</v>
      </c>
      <c r="D111" t="s">
        <v>352</v>
      </c>
      <c r="E111">
        <v>19</v>
      </c>
      <c r="F111" s="3">
        <f t="shared" si="2"/>
        <v>16.521739130434785</v>
      </c>
      <c r="G111" s="3">
        <v>6.59</v>
      </c>
      <c r="H111" s="5">
        <f t="shared" si="3"/>
        <v>0.39886842105263154</v>
      </c>
    </row>
    <row r="112" spans="1:8" x14ac:dyDescent="0.35">
      <c r="A112" s="2" t="s">
        <v>359</v>
      </c>
      <c r="B112" s="2" t="s">
        <v>360</v>
      </c>
      <c r="C112" t="s">
        <v>361</v>
      </c>
      <c r="D112" t="s">
        <v>352</v>
      </c>
      <c r="E112">
        <v>25</v>
      </c>
      <c r="F112" s="3">
        <f t="shared" si="2"/>
        <v>21.739130434782609</v>
      </c>
      <c r="G112" s="3">
        <v>8.19</v>
      </c>
      <c r="H112" s="5">
        <f t="shared" si="3"/>
        <v>0.37673999999999996</v>
      </c>
    </row>
    <row r="113" spans="1:8" x14ac:dyDescent="0.35">
      <c r="A113" s="2" t="s">
        <v>362</v>
      </c>
      <c r="B113" s="2" t="s">
        <v>363</v>
      </c>
      <c r="C113" t="s">
        <v>364</v>
      </c>
      <c r="D113" t="s">
        <v>352</v>
      </c>
      <c r="E113">
        <v>21</v>
      </c>
      <c r="F113" s="3">
        <f t="shared" si="2"/>
        <v>18.260869565217394</v>
      </c>
      <c r="G113" s="3">
        <v>5.58</v>
      </c>
      <c r="H113" s="5">
        <f t="shared" si="3"/>
        <v>0.30557142857142855</v>
      </c>
    </row>
    <row r="114" spans="1:8" x14ac:dyDescent="0.35">
      <c r="A114" s="2" t="s">
        <v>365</v>
      </c>
      <c r="B114" s="2" t="s">
        <v>366</v>
      </c>
      <c r="C114" t="s">
        <v>367</v>
      </c>
      <c r="D114" t="s">
        <v>352</v>
      </c>
      <c r="E114">
        <v>21</v>
      </c>
      <c r="F114" s="3">
        <f t="shared" si="2"/>
        <v>18.260869565217394</v>
      </c>
      <c r="G114" s="3">
        <v>6.29</v>
      </c>
      <c r="H114" s="5">
        <f t="shared" si="3"/>
        <v>0.3444523809523809</v>
      </c>
    </row>
    <row r="115" spans="1:8" x14ac:dyDescent="0.35">
      <c r="A115" s="2" t="s">
        <v>368</v>
      </c>
      <c r="B115" s="2" t="s">
        <v>369</v>
      </c>
      <c r="C115" t="s">
        <v>370</v>
      </c>
      <c r="D115" t="s">
        <v>371</v>
      </c>
      <c r="E115">
        <v>19</v>
      </c>
      <c r="F115" s="3">
        <f t="shared" si="2"/>
        <v>16.521739130434785</v>
      </c>
      <c r="G115" s="3">
        <v>2.99</v>
      </c>
      <c r="H115" s="5">
        <f t="shared" si="3"/>
        <v>0.18097368421052631</v>
      </c>
    </row>
    <row r="116" spans="1:8" x14ac:dyDescent="0.35">
      <c r="A116" s="2" t="s">
        <v>372</v>
      </c>
      <c r="B116" s="2" t="s">
        <v>373</v>
      </c>
      <c r="C116" t="s">
        <v>374</v>
      </c>
      <c r="D116" t="s">
        <v>371</v>
      </c>
      <c r="E116">
        <v>23</v>
      </c>
      <c r="F116" s="3">
        <f t="shared" si="2"/>
        <v>20</v>
      </c>
      <c r="G116" s="3">
        <v>4.71</v>
      </c>
      <c r="H116" s="5">
        <f t="shared" si="3"/>
        <v>0.23549999999999999</v>
      </c>
    </row>
    <row r="117" spans="1:8" x14ac:dyDescent="0.35">
      <c r="A117" s="2" t="s">
        <v>375</v>
      </c>
      <c r="B117" s="2" t="s">
        <v>376</v>
      </c>
      <c r="C117" t="s">
        <v>377</v>
      </c>
      <c r="D117" t="s">
        <v>371</v>
      </c>
      <c r="E117">
        <v>23</v>
      </c>
      <c r="F117" s="3">
        <f t="shared" si="2"/>
        <v>20</v>
      </c>
      <c r="G117" s="3">
        <v>4.93</v>
      </c>
      <c r="H117" s="5">
        <f t="shared" si="3"/>
        <v>0.2465</v>
      </c>
    </row>
    <row r="118" spans="1:8" x14ac:dyDescent="0.35">
      <c r="A118" s="2" t="s">
        <v>378</v>
      </c>
      <c r="B118" s="2" t="s">
        <v>379</v>
      </c>
      <c r="C118" t="s">
        <v>380</v>
      </c>
      <c r="D118" t="s">
        <v>371</v>
      </c>
      <c r="E118">
        <v>27</v>
      </c>
      <c r="F118" s="3">
        <f t="shared" si="2"/>
        <v>23.478260869565219</v>
      </c>
      <c r="G118" s="3">
        <v>4.28</v>
      </c>
      <c r="H118" s="5">
        <f t="shared" si="3"/>
        <v>0.18229629629629629</v>
      </c>
    </row>
    <row r="119" spans="1:8" x14ac:dyDescent="0.35">
      <c r="A119" s="2" t="s">
        <v>381</v>
      </c>
      <c r="B119" s="2" t="s">
        <v>376</v>
      </c>
      <c r="C119" t="s">
        <v>382</v>
      </c>
      <c r="D119" t="s">
        <v>383</v>
      </c>
      <c r="E119">
        <v>26</v>
      </c>
      <c r="F119" s="3">
        <f t="shared" si="2"/>
        <v>22.608695652173914</v>
      </c>
      <c r="G119" s="3">
        <v>4.5</v>
      </c>
      <c r="H119" s="5">
        <f t="shared" si="3"/>
        <v>0.19903846153846153</v>
      </c>
    </row>
    <row r="120" spans="1:8" x14ac:dyDescent="0.35">
      <c r="A120" s="2" t="s">
        <v>384</v>
      </c>
      <c r="B120" t="s">
        <v>385</v>
      </c>
      <c r="C120" t="s">
        <v>386</v>
      </c>
      <c r="D120" t="s">
        <v>383</v>
      </c>
      <c r="E120">
        <v>26</v>
      </c>
      <c r="F120" s="3">
        <f t="shared" si="2"/>
        <v>22.608695652173914</v>
      </c>
      <c r="G120" s="3">
        <v>4.1900000000000004</v>
      </c>
      <c r="H120" s="5">
        <f t="shared" si="3"/>
        <v>0.18532692307692308</v>
      </c>
    </row>
    <row r="121" spans="1:8" x14ac:dyDescent="0.35">
      <c r="A121" s="2" t="s">
        <v>387</v>
      </c>
      <c r="B121" t="s">
        <v>388</v>
      </c>
      <c r="C121" t="s">
        <v>389</v>
      </c>
      <c r="D121" t="s">
        <v>383</v>
      </c>
      <c r="E121">
        <v>26</v>
      </c>
      <c r="F121" s="3">
        <f t="shared" si="2"/>
        <v>22.608695652173914</v>
      </c>
      <c r="G121" s="3">
        <v>3.98</v>
      </c>
      <c r="H121" s="5">
        <f t="shared" si="3"/>
        <v>0.17603846153846153</v>
      </c>
    </row>
    <row r="122" spans="1:8" x14ac:dyDescent="0.35">
      <c r="A122" s="2" t="s">
        <v>390</v>
      </c>
      <c r="B122" t="s">
        <v>391</v>
      </c>
      <c r="C122" t="s">
        <v>392</v>
      </c>
      <c r="D122" t="s">
        <v>383</v>
      </c>
      <c r="E122">
        <v>19</v>
      </c>
      <c r="F122" s="3">
        <f t="shared" si="2"/>
        <v>16.521739130434785</v>
      </c>
      <c r="G122" s="3">
        <v>1.6</v>
      </c>
      <c r="H122" s="5">
        <f t="shared" si="3"/>
        <v>9.6842105263157882E-2</v>
      </c>
    </row>
    <row r="123" spans="1:8" x14ac:dyDescent="0.35">
      <c r="A123" s="2" t="s">
        <v>393</v>
      </c>
      <c r="B123" t="s">
        <v>394</v>
      </c>
      <c r="C123" t="s">
        <v>395</v>
      </c>
      <c r="D123" t="s">
        <v>383</v>
      </c>
      <c r="E123">
        <v>26</v>
      </c>
      <c r="F123" s="3">
        <f t="shared" si="2"/>
        <v>22.608695652173914</v>
      </c>
      <c r="G123" s="3">
        <v>3.8</v>
      </c>
      <c r="H123" s="5">
        <f t="shared" si="3"/>
        <v>0.16807692307692307</v>
      </c>
    </row>
    <row r="124" spans="1:8" x14ac:dyDescent="0.35">
      <c r="A124" s="2" t="s">
        <v>396</v>
      </c>
      <c r="B124" t="s">
        <v>397</v>
      </c>
      <c r="C124" t="s">
        <v>398</v>
      </c>
      <c r="D124" t="s">
        <v>383</v>
      </c>
      <c r="E124">
        <v>26</v>
      </c>
      <c r="F124" s="3">
        <f t="shared" si="2"/>
        <v>22.608695652173914</v>
      </c>
      <c r="G124" s="3">
        <v>4.6399999999999997</v>
      </c>
      <c r="H124" s="5">
        <f t="shared" si="3"/>
        <v>0.20523076923076922</v>
      </c>
    </row>
    <row r="125" spans="1:8" x14ac:dyDescent="0.35">
      <c r="A125" s="2" t="s">
        <v>399</v>
      </c>
      <c r="B125" t="s">
        <v>400</v>
      </c>
      <c r="C125" t="s">
        <v>401</v>
      </c>
      <c r="D125" t="s">
        <v>383</v>
      </c>
      <c r="E125">
        <v>26</v>
      </c>
      <c r="F125" s="3">
        <f t="shared" si="2"/>
        <v>22.608695652173914</v>
      </c>
      <c r="G125" s="3">
        <v>4.12</v>
      </c>
      <c r="H125" s="5">
        <f t="shared" si="3"/>
        <v>0.18223076923076922</v>
      </c>
    </row>
    <row r="126" spans="1:8" x14ac:dyDescent="0.35">
      <c r="A126" s="2" t="s">
        <v>402</v>
      </c>
      <c r="B126" t="s">
        <v>403</v>
      </c>
      <c r="C126" t="s">
        <v>404</v>
      </c>
      <c r="D126" t="s">
        <v>383</v>
      </c>
      <c r="E126">
        <v>19</v>
      </c>
      <c r="F126" s="3">
        <f t="shared" si="2"/>
        <v>16.521739130434785</v>
      </c>
      <c r="G126" s="3">
        <v>4.1900000000000004</v>
      </c>
      <c r="H126" s="5">
        <f t="shared" si="3"/>
        <v>0.25360526315789472</v>
      </c>
    </row>
    <row r="127" spans="1:8" x14ac:dyDescent="0.35">
      <c r="A127" s="2" t="s">
        <v>405</v>
      </c>
      <c r="B127" t="s">
        <v>406</v>
      </c>
      <c r="C127" t="s">
        <v>407</v>
      </c>
      <c r="D127" t="s">
        <v>383</v>
      </c>
      <c r="E127">
        <v>21</v>
      </c>
      <c r="F127" s="3">
        <f t="shared" si="2"/>
        <v>18.260869565217394</v>
      </c>
      <c r="G127" s="3">
        <v>2.71</v>
      </c>
      <c r="H127" s="5">
        <f t="shared" si="3"/>
        <v>0.14840476190476187</v>
      </c>
    </row>
    <row r="128" spans="1:8" x14ac:dyDescent="0.35">
      <c r="A128" s="2" t="s">
        <v>408</v>
      </c>
      <c r="B128" t="s">
        <v>409</v>
      </c>
      <c r="C128" t="s">
        <v>410</v>
      </c>
      <c r="D128" t="s">
        <v>411</v>
      </c>
      <c r="E128">
        <v>32</v>
      </c>
      <c r="F128" s="3">
        <f t="shared" si="2"/>
        <v>27.826086956521742</v>
      </c>
      <c r="G128" s="3">
        <v>8.1199999999999992</v>
      </c>
      <c r="H128" s="5">
        <f t="shared" si="3"/>
        <v>0.29181249999999992</v>
      </c>
    </row>
    <row r="129" spans="1:8" x14ac:dyDescent="0.35">
      <c r="A129" s="2" t="s">
        <v>412</v>
      </c>
      <c r="B129" t="s">
        <v>413</v>
      </c>
      <c r="C129" t="s">
        <v>414</v>
      </c>
      <c r="D129" t="s">
        <v>411</v>
      </c>
      <c r="E129">
        <v>32</v>
      </c>
      <c r="F129" s="3">
        <f t="shared" si="2"/>
        <v>27.826086956521742</v>
      </c>
      <c r="G129" s="3">
        <v>6.24</v>
      </c>
      <c r="H129" s="5">
        <f t="shared" si="3"/>
        <v>0.22424999999999998</v>
      </c>
    </row>
    <row r="130" spans="1:8" x14ac:dyDescent="0.35">
      <c r="A130" s="2" t="s">
        <v>415</v>
      </c>
      <c r="B130" t="s">
        <v>416</v>
      </c>
      <c r="C130" t="s">
        <v>417</v>
      </c>
      <c r="D130" t="s">
        <v>411</v>
      </c>
      <c r="E130">
        <v>33</v>
      </c>
      <c r="F130" s="3">
        <f t="shared" si="2"/>
        <v>28.695652173913047</v>
      </c>
      <c r="G130" s="3">
        <v>6.9</v>
      </c>
      <c r="H130" s="5">
        <f t="shared" si="3"/>
        <v>0.24045454545454545</v>
      </c>
    </row>
    <row r="131" spans="1:8" x14ac:dyDescent="0.35">
      <c r="A131" s="2" t="s">
        <v>418</v>
      </c>
      <c r="B131" t="s">
        <v>419</v>
      </c>
      <c r="C131" t="s">
        <v>420</v>
      </c>
      <c r="D131" t="s">
        <v>411</v>
      </c>
      <c r="E131">
        <v>27</v>
      </c>
      <c r="F131" s="3">
        <f t="shared" ref="F131:F162" si="4">E131/1.15</f>
        <v>23.478260869565219</v>
      </c>
      <c r="G131" s="3">
        <v>2.57</v>
      </c>
      <c r="H131" s="5">
        <f t="shared" ref="H131:H162" si="5">G131/F131</f>
        <v>0.10946296296296296</v>
      </c>
    </row>
    <row r="132" spans="1:8" x14ac:dyDescent="0.35">
      <c r="A132" s="2" t="s">
        <v>421</v>
      </c>
      <c r="B132" t="s">
        <v>422</v>
      </c>
      <c r="C132" t="s">
        <v>423</v>
      </c>
      <c r="D132" t="s">
        <v>424</v>
      </c>
      <c r="E132">
        <v>33</v>
      </c>
      <c r="F132" s="3">
        <f t="shared" si="4"/>
        <v>28.695652173913047</v>
      </c>
      <c r="G132" s="3">
        <v>9.32</v>
      </c>
      <c r="H132" s="5">
        <f t="shared" si="5"/>
        <v>0.32478787878787874</v>
      </c>
    </row>
    <row r="133" spans="1:8" s="6" customFormat="1" x14ac:dyDescent="0.35">
      <c r="A133" s="1" t="s">
        <v>425</v>
      </c>
      <c r="B133" t="s">
        <v>426</v>
      </c>
      <c r="C133" s="6" t="s">
        <v>427</v>
      </c>
      <c r="D133" t="s">
        <v>424</v>
      </c>
      <c r="E133" s="6">
        <v>32</v>
      </c>
      <c r="F133" s="7">
        <f t="shared" si="4"/>
        <v>27.826086956521742</v>
      </c>
      <c r="G133" s="7">
        <v>6.27</v>
      </c>
      <c r="H133" s="8">
        <f t="shared" si="5"/>
        <v>0.22532812499999996</v>
      </c>
    </row>
    <row r="134" spans="1:8" s="6" customFormat="1" x14ac:dyDescent="0.35">
      <c r="A134" s="1" t="s">
        <v>428</v>
      </c>
      <c r="B134" t="s">
        <v>429</v>
      </c>
      <c r="C134" s="6" t="s">
        <v>430</v>
      </c>
      <c r="D134" t="s">
        <v>424</v>
      </c>
      <c r="E134" s="6">
        <v>33</v>
      </c>
      <c r="F134" s="7">
        <f t="shared" si="4"/>
        <v>28.695652173913047</v>
      </c>
      <c r="G134" s="7">
        <v>6.57</v>
      </c>
      <c r="H134" s="8">
        <f t="shared" si="5"/>
        <v>0.22895454545454544</v>
      </c>
    </row>
    <row r="135" spans="1:8" x14ac:dyDescent="0.35">
      <c r="A135" s="2" t="s">
        <v>431</v>
      </c>
      <c r="B135" t="s">
        <v>90</v>
      </c>
      <c r="C135" t="s">
        <v>432</v>
      </c>
      <c r="D135" t="s">
        <v>433</v>
      </c>
      <c r="E135">
        <v>52</v>
      </c>
      <c r="F135" s="3">
        <f t="shared" si="4"/>
        <v>45.217391304347828</v>
      </c>
      <c r="G135" s="3">
        <v>13.84</v>
      </c>
      <c r="H135" s="5">
        <f t="shared" si="5"/>
        <v>0.30607692307692308</v>
      </c>
    </row>
    <row r="136" spans="1:8" x14ac:dyDescent="0.35">
      <c r="A136" s="2" t="s">
        <v>434</v>
      </c>
      <c r="B136" t="s">
        <v>435</v>
      </c>
      <c r="C136" t="s">
        <v>436</v>
      </c>
      <c r="D136" t="s">
        <v>433</v>
      </c>
      <c r="E136">
        <v>49</v>
      </c>
      <c r="F136" s="3">
        <f t="shared" si="4"/>
        <v>42.608695652173914</v>
      </c>
      <c r="G136" s="3">
        <v>6.94</v>
      </c>
      <c r="H136" s="5">
        <f t="shared" si="5"/>
        <v>0.16287755102040816</v>
      </c>
    </row>
    <row r="137" spans="1:8" x14ac:dyDescent="0.35">
      <c r="A137" s="2" t="s">
        <v>437</v>
      </c>
      <c r="B137" t="s">
        <v>84</v>
      </c>
      <c r="C137" t="s">
        <v>438</v>
      </c>
      <c r="D137" t="s">
        <v>433</v>
      </c>
      <c r="E137">
        <v>49</v>
      </c>
      <c r="F137" s="3">
        <f t="shared" si="4"/>
        <v>42.608695652173914</v>
      </c>
      <c r="G137" s="3">
        <v>9.68</v>
      </c>
      <c r="H137" s="5">
        <f t="shared" si="5"/>
        <v>0.22718367346938775</v>
      </c>
    </row>
    <row r="138" spans="1:8" x14ac:dyDescent="0.35">
      <c r="A138" s="2" t="s">
        <v>439</v>
      </c>
      <c r="B138" t="s">
        <v>440</v>
      </c>
      <c r="C138" t="s">
        <v>441</v>
      </c>
      <c r="D138" t="s">
        <v>433</v>
      </c>
      <c r="E138">
        <v>51</v>
      </c>
      <c r="F138" s="3">
        <f t="shared" si="4"/>
        <v>44.347826086956523</v>
      </c>
      <c r="G138" s="3">
        <v>10.92</v>
      </c>
      <c r="H138" s="5">
        <f t="shared" si="5"/>
        <v>0.24623529411764705</v>
      </c>
    </row>
    <row r="139" spans="1:8" x14ac:dyDescent="0.35">
      <c r="A139" s="2" t="s">
        <v>442</v>
      </c>
      <c r="B139" t="s">
        <v>78</v>
      </c>
      <c r="C139" t="s">
        <v>443</v>
      </c>
      <c r="D139" t="s">
        <v>433</v>
      </c>
      <c r="E139">
        <v>49</v>
      </c>
      <c r="F139" s="3">
        <f t="shared" si="4"/>
        <v>42.608695652173914</v>
      </c>
      <c r="G139" s="3">
        <v>5.42</v>
      </c>
      <c r="H139" s="5">
        <f t="shared" si="5"/>
        <v>0.12720408163265307</v>
      </c>
    </row>
    <row r="140" spans="1:8" x14ac:dyDescent="0.35">
      <c r="A140" s="2" t="s">
        <v>444</v>
      </c>
      <c r="B140" t="s">
        <v>75</v>
      </c>
      <c r="C140" t="s">
        <v>445</v>
      </c>
      <c r="D140" t="s">
        <v>433</v>
      </c>
      <c r="E140">
        <v>49</v>
      </c>
      <c r="F140" s="3">
        <f t="shared" si="4"/>
        <v>42.608695652173914</v>
      </c>
      <c r="G140" s="3">
        <v>7.67</v>
      </c>
      <c r="H140" s="5">
        <f t="shared" si="5"/>
        <v>0.18001020408163265</v>
      </c>
    </row>
    <row r="141" spans="1:8" x14ac:dyDescent="0.35">
      <c r="A141" s="2" t="s">
        <v>446</v>
      </c>
      <c r="B141" t="s">
        <v>447</v>
      </c>
      <c r="C141" t="s">
        <v>448</v>
      </c>
      <c r="D141" t="s">
        <v>433</v>
      </c>
      <c r="E141">
        <v>52</v>
      </c>
      <c r="F141" s="3">
        <f t="shared" si="4"/>
        <v>45.217391304347828</v>
      </c>
      <c r="G141" s="3">
        <v>6.5</v>
      </c>
      <c r="H141" s="5">
        <f t="shared" si="5"/>
        <v>0.14374999999999999</v>
      </c>
    </row>
    <row r="142" spans="1:8" x14ac:dyDescent="0.35">
      <c r="A142" s="2" t="s">
        <v>449</v>
      </c>
      <c r="B142" t="s">
        <v>69</v>
      </c>
      <c r="C142" t="s">
        <v>450</v>
      </c>
      <c r="D142" t="s">
        <v>433</v>
      </c>
      <c r="E142">
        <v>52</v>
      </c>
      <c r="F142" s="3">
        <f t="shared" si="4"/>
        <v>45.217391304347828</v>
      </c>
      <c r="G142" s="3">
        <v>6.93</v>
      </c>
      <c r="H142" s="5">
        <f t="shared" si="5"/>
        <v>0.15325961538461538</v>
      </c>
    </row>
    <row r="143" spans="1:8" x14ac:dyDescent="0.35">
      <c r="A143" s="2" t="s">
        <v>451</v>
      </c>
      <c r="B143" t="s">
        <v>66</v>
      </c>
      <c r="C143" t="s">
        <v>452</v>
      </c>
      <c r="D143" t="s">
        <v>433</v>
      </c>
      <c r="E143">
        <v>52</v>
      </c>
      <c r="F143" s="3">
        <f t="shared" si="4"/>
        <v>45.217391304347828</v>
      </c>
      <c r="G143" s="3">
        <v>8.5</v>
      </c>
      <c r="H143" s="5">
        <f t="shared" si="5"/>
        <v>0.18798076923076923</v>
      </c>
    </row>
    <row r="144" spans="1:8" x14ac:dyDescent="0.35">
      <c r="A144" s="2" t="s">
        <v>453</v>
      </c>
      <c r="B144" t="s">
        <v>454</v>
      </c>
      <c r="C144" t="s">
        <v>455</v>
      </c>
      <c r="D144" t="s">
        <v>433</v>
      </c>
      <c r="E144">
        <v>52</v>
      </c>
      <c r="F144" s="3">
        <f t="shared" si="4"/>
        <v>45.217391304347828</v>
      </c>
      <c r="G144" s="3">
        <v>9.51</v>
      </c>
      <c r="H144" s="5">
        <f t="shared" si="5"/>
        <v>0.21031730769230769</v>
      </c>
    </row>
    <row r="145" spans="1:8" x14ac:dyDescent="0.35">
      <c r="A145" s="2" t="s">
        <v>456</v>
      </c>
      <c r="B145" t="s">
        <v>60</v>
      </c>
      <c r="C145" t="s">
        <v>457</v>
      </c>
      <c r="D145" t="s">
        <v>433</v>
      </c>
      <c r="E145">
        <v>52</v>
      </c>
      <c r="F145" s="3">
        <f t="shared" si="4"/>
        <v>45.217391304347828</v>
      </c>
      <c r="G145" s="3">
        <v>10.46</v>
      </c>
      <c r="H145" s="5">
        <f t="shared" si="5"/>
        <v>0.2313269230769231</v>
      </c>
    </row>
    <row r="146" spans="1:8" x14ac:dyDescent="0.35">
      <c r="A146" s="2" t="s">
        <v>458</v>
      </c>
      <c r="B146" t="s">
        <v>57</v>
      </c>
      <c r="C146" t="s">
        <v>459</v>
      </c>
      <c r="D146" t="s">
        <v>433</v>
      </c>
      <c r="E146">
        <v>52</v>
      </c>
      <c r="F146" s="3">
        <f t="shared" si="4"/>
        <v>45.217391304347828</v>
      </c>
      <c r="G146" s="3">
        <v>6.7</v>
      </c>
      <c r="H146" s="5">
        <f t="shared" si="5"/>
        <v>0.14817307692307691</v>
      </c>
    </row>
    <row r="147" spans="1:8" x14ac:dyDescent="0.35">
      <c r="A147" s="2" t="s">
        <v>460</v>
      </c>
      <c r="B147" t="s">
        <v>461</v>
      </c>
      <c r="C147" t="s">
        <v>462</v>
      </c>
      <c r="D147" t="s">
        <v>433</v>
      </c>
      <c r="E147">
        <v>52</v>
      </c>
      <c r="F147" s="3">
        <f t="shared" si="4"/>
        <v>45.217391304347828</v>
      </c>
      <c r="G147" s="3">
        <v>11.21</v>
      </c>
      <c r="H147" s="5">
        <f t="shared" si="5"/>
        <v>0.24791346153846155</v>
      </c>
    </row>
    <row r="148" spans="1:8" x14ac:dyDescent="0.35">
      <c r="A148" s="2" t="s">
        <v>463</v>
      </c>
      <c r="B148" t="s">
        <v>464</v>
      </c>
      <c r="C148" t="s">
        <v>465</v>
      </c>
      <c r="D148" t="s">
        <v>433</v>
      </c>
      <c r="E148">
        <v>52</v>
      </c>
      <c r="F148" s="3">
        <f t="shared" si="4"/>
        <v>45.217391304347828</v>
      </c>
      <c r="G148" s="3">
        <v>8.39</v>
      </c>
      <c r="H148" s="5">
        <f t="shared" si="5"/>
        <v>0.18554807692307693</v>
      </c>
    </row>
    <row r="149" spans="1:8" x14ac:dyDescent="0.35">
      <c r="A149" s="2" t="s">
        <v>466</v>
      </c>
      <c r="B149" t="s">
        <v>467</v>
      </c>
      <c r="C149" t="s">
        <v>468</v>
      </c>
      <c r="D149" t="s">
        <v>433</v>
      </c>
      <c r="E149">
        <v>52</v>
      </c>
      <c r="F149" s="3">
        <f t="shared" si="4"/>
        <v>45.217391304347828</v>
      </c>
      <c r="G149" s="3">
        <v>6.21</v>
      </c>
      <c r="H149" s="5">
        <f t="shared" si="5"/>
        <v>0.13733653846153845</v>
      </c>
    </row>
    <row r="150" spans="1:8" x14ac:dyDescent="0.35">
      <c r="A150" s="2" t="s">
        <v>469</v>
      </c>
      <c r="B150" t="s">
        <v>45</v>
      </c>
      <c r="C150" t="s">
        <v>470</v>
      </c>
      <c r="D150" t="s">
        <v>433</v>
      </c>
      <c r="E150">
        <v>46</v>
      </c>
      <c r="F150" s="3">
        <f t="shared" si="4"/>
        <v>40</v>
      </c>
      <c r="G150" s="3">
        <v>3.5</v>
      </c>
      <c r="H150" s="5">
        <f t="shared" si="5"/>
        <v>8.7499999999999994E-2</v>
      </c>
    </row>
    <row r="151" spans="1:8" x14ac:dyDescent="0.35">
      <c r="A151" s="2" t="s">
        <v>471</v>
      </c>
      <c r="B151" t="s">
        <v>472</v>
      </c>
      <c r="C151" t="s">
        <v>473</v>
      </c>
      <c r="D151" t="s">
        <v>433</v>
      </c>
      <c r="E151">
        <v>47</v>
      </c>
      <c r="F151" s="3">
        <f t="shared" si="4"/>
        <v>40.869565217391305</v>
      </c>
      <c r="G151" s="3">
        <v>4.24</v>
      </c>
      <c r="H151" s="5">
        <f t="shared" si="5"/>
        <v>0.10374468085106384</v>
      </c>
    </row>
    <row r="152" spans="1:8" x14ac:dyDescent="0.35">
      <c r="A152" s="2" t="s">
        <v>474</v>
      </c>
      <c r="B152" t="s">
        <v>475</v>
      </c>
      <c r="C152" t="s">
        <v>476</v>
      </c>
      <c r="D152" t="s">
        <v>433</v>
      </c>
      <c r="E152">
        <v>52</v>
      </c>
      <c r="F152" s="3">
        <f t="shared" si="4"/>
        <v>45.217391304347828</v>
      </c>
      <c r="G152" s="3">
        <v>10.76</v>
      </c>
      <c r="H152" s="5">
        <f t="shared" si="5"/>
        <v>0.23796153846153845</v>
      </c>
    </row>
    <row r="153" spans="1:8" x14ac:dyDescent="0.35">
      <c r="A153" s="2" t="s">
        <v>477</v>
      </c>
      <c r="B153" t="s">
        <v>478</v>
      </c>
      <c r="C153" t="s">
        <v>479</v>
      </c>
      <c r="D153" t="s">
        <v>433</v>
      </c>
      <c r="E153">
        <v>52</v>
      </c>
      <c r="F153" s="3">
        <f t="shared" si="4"/>
        <v>45.217391304347828</v>
      </c>
      <c r="G153" s="3">
        <v>11.5</v>
      </c>
      <c r="H153" s="5">
        <f t="shared" si="5"/>
        <v>0.25432692307692306</v>
      </c>
    </row>
    <row r="154" spans="1:8" x14ac:dyDescent="0.35">
      <c r="A154" s="2" t="s">
        <v>480</v>
      </c>
      <c r="B154" t="s">
        <v>33</v>
      </c>
      <c r="C154" t="s">
        <v>481</v>
      </c>
      <c r="D154" t="s">
        <v>433</v>
      </c>
      <c r="E154">
        <v>56</v>
      </c>
      <c r="F154" s="3">
        <f t="shared" si="4"/>
        <v>48.695652173913047</v>
      </c>
      <c r="G154" s="3">
        <v>11.78</v>
      </c>
      <c r="H154" s="5">
        <f t="shared" si="5"/>
        <v>0.24191071428571426</v>
      </c>
    </row>
    <row r="155" spans="1:8" x14ac:dyDescent="0.35">
      <c r="A155" s="2" t="s">
        <v>482</v>
      </c>
      <c r="B155" t="s">
        <v>483</v>
      </c>
      <c r="C155" t="s">
        <v>484</v>
      </c>
      <c r="D155" t="s">
        <v>433</v>
      </c>
      <c r="E155">
        <v>56</v>
      </c>
      <c r="F155" s="3">
        <f t="shared" si="4"/>
        <v>48.695652173913047</v>
      </c>
      <c r="G155" s="3">
        <v>20.18</v>
      </c>
      <c r="H155" s="5">
        <f t="shared" si="5"/>
        <v>0.41441071428571424</v>
      </c>
    </row>
    <row r="156" spans="1:8" x14ac:dyDescent="0.35">
      <c r="A156" s="2" t="s">
        <v>485</v>
      </c>
      <c r="B156" t="s">
        <v>26</v>
      </c>
      <c r="C156" t="s">
        <v>486</v>
      </c>
      <c r="D156" t="s">
        <v>487</v>
      </c>
      <c r="E156">
        <v>54</v>
      </c>
      <c r="F156" s="3">
        <f t="shared" si="4"/>
        <v>46.956521739130437</v>
      </c>
      <c r="G156" s="3">
        <v>7.38</v>
      </c>
      <c r="H156" s="5">
        <f t="shared" si="5"/>
        <v>0.15716666666666665</v>
      </c>
    </row>
    <row r="157" spans="1:8" x14ac:dyDescent="0.35">
      <c r="A157" s="2" t="s">
        <v>488</v>
      </c>
      <c r="B157" t="s">
        <v>489</v>
      </c>
      <c r="C157" t="s">
        <v>490</v>
      </c>
      <c r="D157" t="s">
        <v>487</v>
      </c>
      <c r="E157">
        <v>54</v>
      </c>
      <c r="F157" s="3">
        <f t="shared" si="4"/>
        <v>46.956521739130437</v>
      </c>
      <c r="G157" s="3">
        <v>7.51</v>
      </c>
      <c r="H157" s="5">
        <f t="shared" si="5"/>
        <v>0.15993518518518518</v>
      </c>
    </row>
    <row r="158" spans="1:8" x14ac:dyDescent="0.35">
      <c r="A158" s="2" t="s">
        <v>491</v>
      </c>
      <c r="B158" t="s">
        <v>20</v>
      </c>
      <c r="C158" t="s">
        <v>492</v>
      </c>
      <c r="D158" t="s">
        <v>487</v>
      </c>
      <c r="E158">
        <v>52</v>
      </c>
      <c r="F158" s="3">
        <f t="shared" si="4"/>
        <v>45.217391304347828</v>
      </c>
      <c r="G158" s="3">
        <v>5.46</v>
      </c>
      <c r="H158" s="5">
        <f t="shared" si="5"/>
        <v>0.12075</v>
      </c>
    </row>
    <row r="159" spans="1:8" x14ac:dyDescent="0.35">
      <c r="A159" s="2" t="s">
        <v>493</v>
      </c>
      <c r="B159" t="s">
        <v>17</v>
      </c>
      <c r="C159" t="s">
        <v>494</v>
      </c>
      <c r="D159" t="s">
        <v>487</v>
      </c>
      <c r="E159">
        <v>52</v>
      </c>
      <c r="F159" s="3">
        <f t="shared" si="4"/>
        <v>45.217391304347828</v>
      </c>
      <c r="G159" s="3">
        <v>7.51</v>
      </c>
      <c r="H159" s="5">
        <f t="shared" si="5"/>
        <v>0.16608653846153845</v>
      </c>
    </row>
    <row r="160" spans="1:8" x14ac:dyDescent="0.35">
      <c r="A160" s="2" t="s">
        <v>495</v>
      </c>
      <c r="B160" t="s">
        <v>496</v>
      </c>
      <c r="C160" t="s">
        <v>497</v>
      </c>
      <c r="D160" t="s">
        <v>487</v>
      </c>
      <c r="E160">
        <v>47</v>
      </c>
      <c r="F160" s="3">
        <f t="shared" si="4"/>
        <v>40.869565217391305</v>
      </c>
      <c r="G160" s="3">
        <v>8.5</v>
      </c>
      <c r="H160" s="5">
        <f t="shared" si="5"/>
        <v>0.20797872340425533</v>
      </c>
    </row>
    <row r="161" spans="1:16" x14ac:dyDescent="0.35">
      <c r="A161" s="2" t="s">
        <v>498</v>
      </c>
      <c r="B161" t="s">
        <v>499</v>
      </c>
      <c r="C161" t="s">
        <v>500</v>
      </c>
      <c r="D161" t="s">
        <v>487</v>
      </c>
      <c r="E161">
        <v>49</v>
      </c>
      <c r="F161" s="3">
        <f t="shared" si="4"/>
        <v>42.608695652173914</v>
      </c>
      <c r="G161" s="3">
        <v>9.5</v>
      </c>
      <c r="H161" s="5">
        <f t="shared" si="5"/>
        <v>0.2229591836734694</v>
      </c>
    </row>
    <row r="162" spans="1:16" x14ac:dyDescent="0.35">
      <c r="A162" s="2" t="s">
        <v>501</v>
      </c>
      <c r="B162" t="s">
        <v>502</v>
      </c>
      <c r="C162" t="s">
        <v>503</v>
      </c>
      <c r="D162" t="s">
        <v>504</v>
      </c>
      <c r="E162">
        <v>79</v>
      </c>
      <c r="F162" s="3">
        <f t="shared" si="4"/>
        <v>68.695652173913047</v>
      </c>
      <c r="G162" s="3">
        <v>18.649999999999999</v>
      </c>
      <c r="H162" s="5">
        <f t="shared" si="5"/>
        <v>0.27148734177215189</v>
      </c>
    </row>
    <row r="163" spans="1:16" x14ac:dyDescent="0.35">
      <c r="A163" s="2"/>
      <c r="B163" s="2"/>
    </row>
    <row r="164" spans="1:16" x14ac:dyDescent="0.35">
      <c r="A164" s="2"/>
      <c r="B164" s="2"/>
    </row>
    <row r="165" spans="1:16" x14ac:dyDescent="0.35">
      <c r="P165">
        <f>31*2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DEV</dc:creator>
  <cp:lastModifiedBy>MSC DEV</cp:lastModifiedBy>
  <dcterms:created xsi:type="dcterms:W3CDTF">2026-05-07T22:42:59Z</dcterms:created>
  <dcterms:modified xsi:type="dcterms:W3CDTF">2026-05-07T22:44:02Z</dcterms:modified>
</cp:coreProperties>
</file>